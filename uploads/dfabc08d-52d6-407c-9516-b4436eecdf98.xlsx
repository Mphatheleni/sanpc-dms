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nthly Activity Log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Team Member View" sheetId="3" state="visible" r:id="rId3"/>
    <sheet xmlns:r="http://schemas.openxmlformats.org/officeDocument/2006/relationships" name="Client Report" sheetId="4" state="visible" r:id="rId4"/>
    <sheet xmlns:r="http://schemas.openxmlformats.org/officeDocument/2006/relationships" name="Monthly Report" sheetId="5" state="visible" r:id="rId5"/>
    <sheet xmlns:r="http://schemas.openxmlformats.org/officeDocument/2006/relationships" name="How To Use" sheetId="6" state="visible" r:id="rId6"/>
  </sheets>
  <definedNames>
    <definedName name="_xlnm._FilterDatabase" localSheetId="0" hidden="1">'Monthly Activity Log'!$A$3:$L$3</definedName>
    <definedName name="_xlnm._FilterDatabase" localSheetId="2" hidden="1">'Team Member View'!$A$4:$K$4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 mmmm\ 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20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1F3864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ACD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7E6E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rgb="FF1F6B75"/>
        <bgColor rgb="FF008080"/>
      </patternFill>
    </fill>
    <fill>
      <patternFill patternType="solid">
        <fgColor rgb="FF2E75B6"/>
        <bgColor rgb="FF1F6B75"/>
      </patternFill>
    </fill>
    <fill>
      <patternFill patternType="solid">
        <fgColor rgb="FFBDD7EE"/>
        <bgColor rgb="FFC7E6EA"/>
      </patternFill>
    </fill>
    <fill>
      <patternFill patternType="solid">
        <fgColor rgb="FFC7E6EA"/>
        <bgColor rgb="FFC6EFCE"/>
      </patternFill>
    </fill>
    <fill>
      <patternFill patternType="solid">
        <fgColor rgb="FFDEEAF1"/>
        <b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9" fontId="11" fillId="13" borderId="1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0" fontId="0" fillId="13" borderId="1" applyAlignment="1" pivotButton="0" quotePrefix="0" xfId="0">
      <alignment horizontal="general" vertical="bottom"/>
    </xf>
    <xf numFmtId="0" fontId="6" fillId="11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 wrapText="1"/>
    </xf>
    <xf numFmtId="9" fontId="16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left" vertical="center" wrapText="1"/>
    </xf>
    <xf numFmtId="9" fontId="16" fillId="15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0" fillId="0" borderId="5" pivotButton="0" quotePrefix="0" xfId="0"/>
    <xf numFmtId="0" fontId="10" fillId="1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6" pivotButton="0" quotePrefix="0" xfId="0"/>
    <xf numFmtId="0" fontId="6" fillId="1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9" fontId="11" fillId="13" borderId="1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0" fontId="0" fillId="13" borderId="1" applyAlignment="1" pivotButton="0" quotePrefix="0" xfId="0">
      <alignment horizontal="general" vertical="bottom"/>
    </xf>
    <xf numFmtId="0" fontId="6" fillId="11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 wrapText="1"/>
    </xf>
    <xf numFmtId="0" fontId="16" fillId="9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left" vertical="center" wrapText="1"/>
    </xf>
    <xf numFmtId="9" fontId="16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left" vertical="center" wrapText="1"/>
    </xf>
    <xf numFmtId="9" fontId="16" fillId="15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7030A0"/>
      <rgbColor rgb="FFFFFACD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7E6EA"/>
      <rgbColor rgb="FFC6EFCE"/>
      <rgbColor rgb="FFFFEB9C"/>
      <rgbColor rgb="FFE2EFDA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E26B0A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L10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10" customWidth="1" style="64" min="2" max="2"/>
    <col width="16" customWidth="1" style="64" min="3" max="3"/>
    <col width="18" customWidth="1" style="64" min="4" max="4"/>
    <col width="16" customWidth="1" style="64" min="5" max="5"/>
    <col width="28" customWidth="1" style="64" min="6" max="6"/>
    <col width="44" customWidth="1" style="64" min="7" max="7"/>
    <col width="14" customWidth="1" style="64" min="8" max="8"/>
    <col width="16" customWidth="1" style="64" min="9" max="9"/>
    <col width="11" customWidth="1" style="64" min="10" max="10"/>
    <col width="14" customWidth="1" style="64" min="11" max="11"/>
    <col width="26" customWidth="1" style="64" min="12" max="12"/>
  </cols>
  <sheetData>
    <row r="1" ht="31.5" customHeight="1" s="65">
      <c r="A1" s="66" t="inlineStr">
        <is>
          <t>BA Team – Monthly Activity Log</t>
        </is>
      </c>
    </row>
    <row r="2" ht="18" customHeight="1" s="65">
      <c r="A2" s="67" t="inlineStr">
        <is>
          <t>📋  Fill in one row per activity. All yellow-highlighted columns are mandatory. Select values from the dropdown lists where provided.</t>
        </is>
      </c>
    </row>
    <row r="3" ht="31.5" customHeight="1" s="65">
      <c r="A3" s="68" t="inlineStr">
        <is>
          <t>#</t>
        </is>
      </c>
      <c r="B3" s="68" t="inlineStr">
        <is>
          <t>Month</t>
        </is>
      </c>
      <c r="C3" s="68" t="inlineStr">
        <is>
          <t>Team Member</t>
        </is>
      </c>
      <c r="D3" s="68" t="inlineStr">
        <is>
          <t>Department / Module</t>
        </is>
      </c>
      <c r="E3" s="68" t="inlineStr">
        <is>
          <t>Ticket / Ref No.</t>
        </is>
      </c>
      <c r="F3" s="68" t="inlineStr">
        <is>
          <t>Project / Activity Name</t>
        </is>
      </c>
      <c r="G3" s="68" t="inlineStr">
        <is>
          <t>Description of Work</t>
        </is>
      </c>
      <c r="H3" s="68" t="inlineStr">
        <is>
          <t>Client</t>
        </is>
      </c>
      <c r="I3" s="68" t="inlineStr">
        <is>
          <t>Category</t>
        </is>
      </c>
      <c r="J3" s="68" t="inlineStr">
        <is>
          <t>Priority</t>
        </is>
      </c>
      <c r="K3" s="68" t="inlineStr">
        <is>
          <t>Status</t>
        </is>
      </c>
      <c r="L3" s="68" t="inlineStr">
        <is>
          <t>Notes / Blockers</t>
        </is>
      </c>
    </row>
    <row r="4" ht="30" customHeight="1" s="65">
      <c r="A4" s="69" t="n">
        <v>1</v>
      </c>
      <c r="B4" s="70" t="inlineStr">
        <is>
          <t>April</t>
        </is>
      </c>
      <c r="C4" s="70" t="inlineStr">
        <is>
          <t>Shennaz</t>
        </is>
      </c>
      <c r="D4" s="70" t="inlineStr">
        <is>
          <t>SAP SD</t>
        </is>
      </c>
      <c r="E4" s="70" t="n"/>
      <c r="F4" s="70" t="inlineStr">
        <is>
          <t>Aviation Surcharge (ZAVS)</t>
        </is>
      </c>
      <c r="G4" s="70" t="inlineStr">
        <is>
          <t>Configured and tested ZAVS pricing condition in QAS. Investigated condition determination and access sequence behaviour. Prepared emergency change documentation and UAT support.</t>
        </is>
      </c>
      <c r="H4" s="70" t="inlineStr">
        <is>
          <t>PetroSA</t>
        </is>
      </c>
      <c r="I4" s="70" t="inlineStr">
        <is>
          <t>Project</t>
        </is>
      </c>
      <c r="J4" s="71" t="inlineStr">
        <is>
          <t>High</t>
        </is>
      </c>
      <c r="K4" s="72" t="inlineStr">
        <is>
          <t>Completed</t>
        </is>
      </c>
      <c r="L4" s="70" t="n"/>
    </row>
    <row r="5" ht="30" customHeight="1" s="65">
      <c r="A5" s="73" t="n">
        <v>2</v>
      </c>
      <c r="B5" s="74" t="inlineStr">
        <is>
          <t>April</t>
        </is>
      </c>
      <c r="C5" s="74" t="inlineStr">
        <is>
          <t>Shennaz</t>
        </is>
      </c>
      <c r="D5" s="74" t="inlineStr">
        <is>
          <t>SAP MM</t>
        </is>
      </c>
      <c r="E5" s="74" t="n"/>
      <c r="F5" s="74" t="inlineStr">
        <is>
          <t>Contract Expiry Control</t>
        </is>
      </c>
      <c r="G5" s="74" t="inlineStr">
        <is>
          <t>Investigated contract expiry controls for PO/SES processing. Performed QAS testing and documented findings for ABAP team.</t>
        </is>
      </c>
      <c r="H5" s="74" t="inlineStr">
        <is>
          <t>PetroSA</t>
        </is>
      </c>
      <c r="I5" s="74" t="inlineStr">
        <is>
          <t>Incident/Bug Fix</t>
        </is>
      </c>
      <c r="J5" s="75" t="inlineStr">
        <is>
          <t>Low</t>
        </is>
      </c>
      <c r="K5" s="72" t="inlineStr">
        <is>
          <t>Completed</t>
        </is>
      </c>
      <c r="L5" s="74" t="n"/>
    </row>
    <row r="6" ht="30" customHeight="1" s="65">
      <c r="A6" s="69" t="n">
        <v>3</v>
      </c>
      <c r="B6" s="70" t="inlineStr">
        <is>
          <t>April</t>
        </is>
      </c>
      <c r="C6" s="70" t="inlineStr">
        <is>
          <t>Shennaz</t>
        </is>
      </c>
      <c r="D6" s="70" t="inlineStr">
        <is>
          <t>SAP FI</t>
        </is>
      </c>
      <c r="E6" s="70" t="n"/>
      <c r="F6" s="70" t="inlineStr">
        <is>
          <t>Ghana Company Code Project</t>
        </is>
      </c>
      <c r="G6" s="70" t="inlineStr">
        <is>
          <t>Reviewed chart of accounts mapping, account groups, number ranges and company code configuration requirements.</t>
        </is>
      </c>
      <c r="H6" s="70" t="inlineStr">
        <is>
          <t>PetroSA Ghana</t>
        </is>
      </c>
      <c r="I6" s="70" t="inlineStr">
        <is>
          <t>Project</t>
        </is>
      </c>
      <c r="J6" s="76" t="inlineStr">
        <is>
          <t>Medium</t>
        </is>
      </c>
      <c r="K6" s="76" t="inlineStr">
        <is>
          <t>In Progress</t>
        </is>
      </c>
      <c r="L6" s="70" t="n"/>
    </row>
    <row r="7" ht="30" customHeight="1" s="65">
      <c r="A7" s="73" t="n">
        <v>4</v>
      </c>
      <c r="B7" s="74" t="inlineStr">
        <is>
          <t>April</t>
        </is>
      </c>
      <c r="C7" s="74" t="inlineStr">
        <is>
          <t>Shennaz</t>
        </is>
      </c>
      <c r="D7" s="74" t="inlineStr">
        <is>
          <t>SAP FI/TRM</t>
        </is>
      </c>
      <c r="E7" s="74" t="n"/>
      <c r="F7" s="74" t="inlineStr">
        <is>
          <t>Treasury Corrections</t>
        </is>
      </c>
      <c r="G7" s="74" t="inlineStr">
        <is>
          <t>Assisted with TBB1/TPM10 treasury postings and correction process analysis.</t>
        </is>
      </c>
      <c r="H7" s="74" t="inlineStr">
        <is>
          <t>PetroSA</t>
        </is>
      </c>
      <c r="I7" s="74" t="inlineStr">
        <is>
          <t>User Support</t>
        </is>
      </c>
      <c r="J7" s="75" t="inlineStr">
        <is>
          <t>Low</t>
        </is>
      </c>
      <c r="K7" s="72" t="inlineStr">
        <is>
          <t>Completed</t>
        </is>
      </c>
      <c r="L7" s="74" t="n"/>
    </row>
    <row r="8" ht="30" customHeight="1" s="65">
      <c r="A8" s="69" t="n">
        <v>5</v>
      </c>
      <c r="B8" s="70" t="inlineStr">
        <is>
          <t>April</t>
        </is>
      </c>
      <c r="C8" s="70" t="inlineStr">
        <is>
          <t>Shennaz</t>
        </is>
      </c>
      <c r="D8" s="70" t="inlineStr">
        <is>
          <t>SAP SD</t>
        </is>
      </c>
      <c r="E8" s="70" t="n"/>
      <c r="F8" s="70" t="inlineStr">
        <is>
          <t>Credit Exposure Investigation</t>
        </is>
      </c>
      <c r="G8" s="70" t="inlineStr">
        <is>
          <t>Analysed customer credit exposure update issue and RVKRED77 behaviour.</t>
        </is>
      </c>
      <c r="H8" s="70" t="inlineStr">
        <is>
          <t>PetroSA</t>
        </is>
      </c>
      <c r="I8" s="70" t="inlineStr">
        <is>
          <t>Incident/Bug Fix</t>
        </is>
      </c>
      <c r="J8" s="75" t="inlineStr">
        <is>
          <t>Low</t>
        </is>
      </c>
      <c r="K8" s="72" t="inlineStr">
        <is>
          <t>Completed</t>
        </is>
      </c>
      <c r="L8" s="70" t="n"/>
    </row>
    <row r="9" ht="30" customHeight="1" s="65">
      <c r="A9" s="73" t="n">
        <v>6</v>
      </c>
      <c r="B9" s="74" t="inlineStr">
        <is>
          <t>April</t>
        </is>
      </c>
      <c r="C9" s="74" t="inlineStr">
        <is>
          <t>Shennaz</t>
        </is>
      </c>
      <c r="D9" s="74" t="inlineStr">
        <is>
          <t>SAP Travel</t>
        </is>
      </c>
      <c r="E9" s="74" t="n"/>
      <c r="F9" s="74" t="inlineStr">
        <is>
          <t>Travel Management Support</t>
        </is>
      </c>
      <c r="G9" s="74" t="inlineStr">
        <is>
          <t>Resolved trip and expense claim issues and provided user support.</t>
        </is>
      </c>
      <c r="H9" s="74" t="inlineStr">
        <is>
          <t>SANPC</t>
        </is>
      </c>
      <c r="I9" s="74" t="inlineStr">
        <is>
          <t>Incident/Bug Fix</t>
        </is>
      </c>
      <c r="J9" s="75" t="inlineStr">
        <is>
          <t>Low</t>
        </is>
      </c>
      <c r="K9" s="72" t="inlineStr">
        <is>
          <t>Completed</t>
        </is>
      </c>
      <c r="L9" s="74" t="n"/>
    </row>
    <row r="10" ht="30" customHeight="1" s="65">
      <c r="A10" s="69" t="n">
        <v>7</v>
      </c>
      <c r="B10" s="70" t="inlineStr">
        <is>
          <t>April</t>
        </is>
      </c>
      <c r="C10" s="70" t="inlineStr">
        <is>
          <t>Shennaz</t>
        </is>
      </c>
      <c r="D10" s="70" t="inlineStr">
        <is>
          <t>SAP FI</t>
        </is>
      </c>
      <c r="E10" s="70" t="n"/>
      <c r="F10" s="70" t="inlineStr">
        <is>
          <t>Period-End Support</t>
        </is>
      </c>
      <c r="G10" s="70" t="inlineStr">
        <is>
          <t>Supported period-end activities including balance carry-forward and account investigations.</t>
        </is>
      </c>
      <c r="H10" s="70" t="inlineStr">
        <is>
          <t>PetroSA</t>
        </is>
      </c>
      <c r="I10" s="70" t="inlineStr">
        <is>
          <t>Incident/Bug Fix</t>
        </is>
      </c>
      <c r="J10" s="75" t="inlineStr">
        <is>
          <t>Low</t>
        </is>
      </c>
      <c r="K10" s="72" t="inlineStr">
        <is>
          <t>Completed</t>
        </is>
      </c>
      <c r="L10" s="70" t="n"/>
    </row>
    <row r="11" ht="30" customHeight="1" s="65">
      <c r="A11" s="73" t="n">
        <v>8</v>
      </c>
      <c r="B11" s="74" t="inlineStr">
        <is>
          <t>April</t>
        </is>
      </c>
      <c r="C11" s="74" t="inlineStr">
        <is>
          <t>Shennaz</t>
        </is>
      </c>
      <c r="D11" s="74" t="inlineStr">
        <is>
          <t>SAP MM</t>
        </is>
      </c>
      <c r="E11" s="74" t="n"/>
      <c r="F11" s="74" t="inlineStr">
        <is>
          <t>PO Output Notifications</t>
        </is>
      </c>
      <c r="G11" s="74" t="inlineStr">
        <is>
          <t>Assisted in Investigated workflow and email notification issues for purchase orders.</t>
        </is>
      </c>
      <c r="H11" s="74" t="inlineStr">
        <is>
          <t>PetroSA</t>
        </is>
      </c>
      <c r="I11" s="74" t="inlineStr">
        <is>
          <t>Incident/Bug Fix</t>
        </is>
      </c>
      <c r="J11" s="75" t="inlineStr">
        <is>
          <t>Low</t>
        </is>
      </c>
      <c r="K11" s="72" t="inlineStr">
        <is>
          <t>Completed</t>
        </is>
      </c>
      <c r="L11" s="74" t="n"/>
    </row>
    <row r="12" ht="30" customHeight="1" s="65">
      <c r="A12" s="69" t="n">
        <v>9</v>
      </c>
      <c r="B12" s="70" t="inlineStr">
        <is>
          <t>April</t>
        </is>
      </c>
      <c r="C12" s="70" t="inlineStr">
        <is>
          <t>Nyameka</t>
        </is>
      </c>
      <c r="D12" s="70" t="inlineStr">
        <is>
          <t>HR/Payroll</t>
        </is>
      </c>
      <c r="E12" s="70" t="inlineStr">
        <is>
          <t>69585655</t>
        </is>
      </c>
      <c r="F12" s="70" t="inlineStr">
        <is>
          <t>Payslips- October 2025</t>
        </is>
      </c>
      <c r="G12" s="70" t="inlineStr">
        <is>
          <t>Incorrect for SFF due to SARS Bi-Annual. SARS Payment is not aligned to Sage for SANPC.</t>
        </is>
      </c>
      <c r="H12" s="70" t="inlineStr">
        <is>
          <t>SANPC</t>
        </is>
      </c>
      <c r="I12" s="70" t="inlineStr">
        <is>
          <t>Admin/Config</t>
        </is>
      </c>
      <c r="J12" s="75" t="inlineStr">
        <is>
          <t>Low</t>
        </is>
      </c>
      <c r="K12" s="76" t="inlineStr">
        <is>
          <t>In Progress</t>
        </is>
      </c>
      <c r="L12" s="70" t="n"/>
    </row>
    <row r="13" ht="30" customHeight="1" s="65">
      <c r="A13" s="73" t="n">
        <v>10</v>
      </c>
      <c r="B13" s="74" t="inlineStr">
        <is>
          <t>April</t>
        </is>
      </c>
      <c r="C13" s="74" t="inlineStr">
        <is>
          <t>Nyameka</t>
        </is>
      </c>
      <c r="D13" s="74" t="inlineStr">
        <is>
          <t>HR/Payroll</t>
        </is>
      </c>
      <c r="E13" s="74" t="inlineStr">
        <is>
          <t>69585765</t>
        </is>
      </c>
      <c r="F13" s="74" t="inlineStr">
        <is>
          <t>July Backpay line vs Backpay Overtime line</t>
        </is>
      </c>
      <c r="G13" s="74" t="inlineStr">
        <is>
          <t>July Backpay Line to be aligned and removed from Overtime in August 2025 payroll.</t>
        </is>
      </c>
      <c r="H13" s="74" t="inlineStr">
        <is>
          <t>SANPC</t>
        </is>
      </c>
      <c r="I13" s="74" t="inlineStr">
        <is>
          <t>Admin/Config</t>
        </is>
      </c>
      <c r="J13" s="75" t="inlineStr">
        <is>
          <t>Low</t>
        </is>
      </c>
      <c r="K13" s="76" t="inlineStr">
        <is>
          <t>In Progress</t>
        </is>
      </c>
      <c r="L13" s="74" t="n"/>
    </row>
    <row r="14" ht="30" customHeight="1" s="65">
      <c r="A14" s="69" t="n">
        <v>11</v>
      </c>
      <c r="B14" s="70" t="inlineStr">
        <is>
          <t>April</t>
        </is>
      </c>
      <c r="C14" s="70" t="inlineStr">
        <is>
          <t>Nyameka</t>
        </is>
      </c>
      <c r="D14" s="70" t="inlineStr">
        <is>
          <t>HR/Payroll</t>
        </is>
      </c>
      <c r="E14" s="70" t="inlineStr">
        <is>
          <t>69585703</t>
        </is>
      </c>
      <c r="F14" s="70" t="inlineStr">
        <is>
          <t>EMP 201 Payments Sep to Nov</t>
        </is>
      </c>
      <c r="G14" s="70" t="inlineStr">
        <is>
          <t>Payment does not reconcile due to item on Line 5.</t>
        </is>
      </c>
      <c r="H14" s="70" t="inlineStr">
        <is>
          <t>SANPC</t>
        </is>
      </c>
      <c r="I14" s="70" t="inlineStr">
        <is>
          <t>Admin/Config</t>
        </is>
      </c>
      <c r="J14" s="75" t="inlineStr">
        <is>
          <t>Low</t>
        </is>
      </c>
      <c r="K14" s="76" t="inlineStr">
        <is>
          <t>In Progress</t>
        </is>
      </c>
      <c r="L14" s="70" t="n"/>
    </row>
    <row r="15" ht="30" customHeight="1" s="65">
      <c r="A15" s="73" t="n">
        <v>12</v>
      </c>
      <c r="B15" s="74" t="inlineStr">
        <is>
          <t>April</t>
        </is>
      </c>
      <c r="C15" s="74" t="inlineStr">
        <is>
          <t>Nyameka</t>
        </is>
      </c>
      <c r="D15" s="74" t="inlineStr">
        <is>
          <t>HR/Payroll</t>
        </is>
      </c>
      <c r="E15" s="74" t="inlineStr">
        <is>
          <t>69585655</t>
        </is>
      </c>
      <c r="F15" s="74" t="inlineStr">
        <is>
          <t>October 2025 Payslip Discrepancy</t>
        </is>
      </c>
      <c r="G15" s="74" t="inlineStr">
        <is>
          <t>The SARS payment reflected in the October 2025 payslips is not aligned with Sage records for SANPC.</t>
        </is>
      </c>
      <c r="H15" s="74" t="inlineStr">
        <is>
          <t>SANPC</t>
        </is>
      </c>
      <c r="I15" s="74" t="inlineStr">
        <is>
          <t>Admin/Config</t>
        </is>
      </c>
      <c r="J15" s="75" t="inlineStr">
        <is>
          <t>Low</t>
        </is>
      </c>
      <c r="K15" s="76" t="inlineStr">
        <is>
          <t>In Progress</t>
        </is>
      </c>
      <c r="L15" s="74" t="n"/>
    </row>
    <row r="16" ht="30" customHeight="1" s="65">
      <c r="A16" s="69" t="n">
        <v>13</v>
      </c>
      <c r="B16" s="70" t="inlineStr">
        <is>
          <t>April</t>
        </is>
      </c>
      <c r="C16" s="70" t="inlineStr">
        <is>
          <t>Nyameka</t>
        </is>
      </c>
      <c r="D16" s="70" t="inlineStr">
        <is>
          <t>HR/Payroll</t>
        </is>
      </c>
      <c r="E16" s="70" t="inlineStr">
        <is>
          <t>71880714</t>
        </is>
      </c>
      <c r="F16" s="70" t="inlineStr">
        <is>
          <t>Run Time error</t>
        </is>
      </c>
      <c r="G16" s="70" t="inlineStr">
        <is>
          <t>Run time error investigation.</t>
        </is>
      </c>
      <c r="H16" s="70" t="inlineStr">
        <is>
          <t>SANPC</t>
        </is>
      </c>
      <c r="I16" s="70" t="inlineStr">
        <is>
          <t>Incident/Bug Fix</t>
        </is>
      </c>
      <c r="J16" s="75" t="inlineStr">
        <is>
          <t>Low</t>
        </is>
      </c>
      <c r="K16" s="76" t="inlineStr">
        <is>
          <t>In Progress</t>
        </is>
      </c>
      <c r="L16" s="70" t="n"/>
    </row>
    <row r="17" ht="30" customHeight="1" s="65">
      <c r="A17" s="73" t="n">
        <v>14</v>
      </c>
      <c r="B17" s="74" t="inlineStr">
        <is>
          <t>April</t>
        </is>
      </c>
      <c r="C17" s="74" t="inlineStr">
        <is>
          <t>Nyameka</t>
        </is>
      </c>
      <c r="D17" s="74" t="inlineStr">
        <is>
          <t>SAP HR</t>
        </is>
      </c>
      <c r="E17" s="74" t="n"/>
      <c r="F17" s="74" t="inlineStr">
        <is>
          <t>PetroSA Solidarity Premium Update</t>
        </is>
      </c>
      <c r="G17" s="74" t="inlineStr">
        <is>
          <t>PetroSA Solidarity Premium Update.</t>
        </is>
      </c>
      <c r="H17" s="74" t="inlineStr">
        <is>
          <t>PetroSA</t>
        </is>
      </c>
      <c r="I17" s="74" t="inlineStr">
        <is>
          <t>Admin/Config</t>
        </is>
      </c>
      <c r="J17" s="75" t="inlineStr">
        <is>
          <t>Low</t>
        </is>
      </c>
      <c r="K17" s="72" t="inlineStr">
        <is>
          <t>Completed</t>
        </is>
      </c>
      <c r="L17" s="74" t="n"/>
    </row>
    <row r="18" ht="30" customHeight="1" s="65">
      <c r="A18" s="69" t="n">
        <v>15</v>
      </c>
      <c r="B18" s="70" t="inlineStr">
        <is>
          <t>April</t>
        </is>
      </c>
      <c r="C18" s="70" t="inlineStr">
        <is>
          <t>Nyameka</t>
        </is>
      </c>
      <c r="D18" s="70" t="inlineStr">
        <is>
          <t>SAP HR</t>
        </is>
      </c>
      <c r="E18" s="70" t="n"/>
      <c r="F18" s="70" t="inlineStr">
        <is>
          <t>PetroSA Mortgage Premium Update</t>
        </is>
      </c>
      <c r="G18" s="70" t="inlineStr">
        <is>
          <t>PetroSA Mortgage Premium Update.</t>
        </is>
      </c>
      <c r="H18" s="70" t="inlineStr">
        <is>
          <t>PetroSA</t>
        </is>
      </c>
      <c r="I18" s="70" t="inlineStr">
        <is>
          <t>Admin/Config</t>
        </is>
      </c>
      <c r="J18" s="75" t="inlineStr">
        <is>
          <t>Low</t>
        </is>
      </c>
      <c r="K18" s="72" t="inlineStr">
        <is>
          <t>Completed</t>
        </is>
      </c>
      <c r="L18" s="70" t="n"/>
    </row>
    <row r="19" ht="30" customHeight="1" s="65">
      <c r="A19" s="73" t="n">
        <v>16</v>
      </c>
      <c r="B19" s="74" t="inlineStr">
        <is>
          <t>April</t>
        </is>
      </c>
      <c r="C19" s="74" t="inlineStr">
        <is>
          <t>Nyameka</t>
        </is>
      </c>
      <c r="D19" s="74" t="inlineStr">
        <is>
          <t>SAP HR</t>
        </is>
      </c>
      <c r="E19" s="74" t="n"/>
      <c r="F19" s="74" t="inlineStr">
        <is>
          <t>PetroSA COID Premium Update</t>
        </is>
      </c>
      <c r="G19" s="74" t="inlineStr">
        <is>
          <t>PetroSA COID Premium Update.</t>
        </is>
      </c>
      <c r="H19" s="74" t="inlineStr">
        <is>
          <t>PetroSA</t>
        </is>
      </c>
      <c r="I19" s="74" t="inlineStr">
        <is>
          <t>Admin/Config</t>
        </is>
      </c>
      <c r="J19" s="75" t="inlineStr">
        <is>
          <t>Low</t>
        </is>
      </c>
      <c r="K19" s="72" t="inlineStr">
        <is>
          <t>Completed</t>
        </is>
      </c>
      <c r="L19" s="74" t="n"/>
    </row>
    <row r="20" ht="30" customHeight="1" s="65">
      <c r="A20" s="69" t="n">
        <v>17</v>
      </c>
      <c r="B20" s="70" t="inlineStr">
        <is>
          <t>April</t>
        </is>
      </c>
      <c r="C20" s="70" t="inlineStr">
        <is>
          <t>Lindiwe</t>
        </is>
      </c>
      <c r="D20" s="70" t="inlineStr">
        <is>
          <t>IT</t>
        </is>
      </c>
      <c r="E20" s="70" t="inlineStr">
        <is>
          <t>77317642</t>
        </is>
      </c>
      <c r="F20" s="70" t="inlineStr">
        <is>
          <t>Signing Hub</t>
        </is>
      </c>
      <c r="G20" s="70" t="inlineStr">
        <is>
          <t>Signing hub access.</t>
        </is>
      </c>
      <c r="H20" s="70" t="inlineStr">
        <is>
          <t>SANPC</t>
        </is>
      </c>
      <c r="I20" s="70" t="inlineStr">
        <is>
          <t>Incident/Bug Fix</t>
        </is>
      </c>
      <c r="J20" s="75" t="inlineStr">
        <is>
          <t>Low</t>
        </is>
      </c>
      <c r="K20" s="72" t="inlineStr">
        <is>
          <t>Completed</t>
        </is>
      </c>
      <c r="L20" s="70" t="n"/>
    </row>
    <row r="21" ht="30" customHeight="1" s="65">
      <c r="A21" s="73" t="n">
        <v>18</v>
      </c>
      <c r="B21" s="74" t="inlineStr">
        <is>
          <t>April</t>
        </is>
      </c>
      <c r="C21" s="74" t="inlineStr">
        <is>
          <t>Lindiwe</t>
        </is>
      </c>
      <c r="D21" s="74" t="inlineStr">
        <is>
          <t>IT</t>
        </is>
      </c>
      <c r="E21" s="74" t="inlineStr">
        <is>
          <t>76861404</t>
        </is>
      </c>
      <c r="F21" s="74" t="inlineStr">
        <is>
          <t>BPM - Password Resets</t>
        </is>
      </c>
      <c r="G21" s="74" t="inlineStr">
        <is>
          <t>Resetting all BPM/ACCPAC passwords for the users that are using the system.</t>
        </is>
      </c>
      <c r="H21" s="74" t="inlineStr">
        <is>
          <t>SANPC</t>
        </is>
      </c>
      <c r="I21" s="74" t="inlineStr">
        <is>
          <t>User Support</t>
        </is>
      </c>
      <c r="J21" s="75" t="inlineStr">
        <is>
          <t>Low</t>
        </is>
      </c>
      <c r="K21" s="72" t="inlineStr">
        <is>
          <t>Completed</t>
        </is>
      </c>
      <c r="L21" s="74" t="n"/>
    </row>
    <row r="22" ht="30" customHeight="1" s="65">
      <c r="A22" s="69" t="n">
        <v>19</v>
      </c>
      <c r="B22" s="70" t="inlineStr">
        <is>
          <t>April</t>
        </is>
      </c>
      <c r="C22" s="70" t="inlineStr">
        <is>
          <t>Lindiwe</t>
        </is>
      </c>
      <c r="D22" s="70" t="inlineStr">
        <is>
          <t>IT</t>
        </is>
      </c>
      <c r="E22" s="70" t="inlineStr">
        <is>
          <t>Emails</t>
        </is>
      </c>
      <c r="F22" s="70" t="inlineStr">
        <is>
          <t>BPM - Business Connect Loading</t>
        </is>
      </c>
      <c r="G22" s="70" t="inlineStr">
        <is>
          <t>Loading Business connect, MPLS, Network points, Sage Support PO GRV.</t>
        </is>
      </c>
      <c r="H22" s="70" t="inlineStr">
        <is>
          <t>SANPC</t>
        </is>
      </c>
      <c r="I22" s="70" t="inlineStr">
        <is>
          <t>User Support</t>
        </is>
      </c>
      <c r="J22" s="75" t="inlineStr">
        <is>
          <t>Low</t>
        </is>
      </c>
      <c r="K22" s="72" t="inlineStr">
        <is>
          <t>Completed</t>
        </is>
      </c>
      <c r="L22" s="70" t="n"/>
    </row>
    <row r="23" ht="30" customHeight="1" s="65">
      <c r="A23" s="73" t="n">
        <v>20</v>
      </c>
      <c r="B23" s="74" t="inlineStr">
        <is>
          <t>April</t>
        </is>
      </c>
      <c r="C23" s="74" t="inlineStr">
        <is>
          <t>Lindiwe</t>
        </is>
      </c>
      <c r="D23" s="74" t="inlineStr">
        <is>
          <t>Finance</t>
        </is>
      </c>
      <c r="E23" s="74" t="inlineStr">
        <is>
          <t>Emails</t>
        </is>
      </c>
      <c r="F23" s="74" t="inlineStr">
        <is>
          <t>BPM - RCP Investigation</t>
        </is>
      </c>
      <c r="G23" s="74" t="inlineStr">
        <is>
          <t>Check where the RCPs are stuck.</t>
        </is>
      </c>
      <c r="H23" s="74" t="inlineStr">
        <is>
          <t>SANPC/SFF</t>
        </is>
      </c>
      <c r="I23" s="74" t="inlineStr">
        <is>
          <t>Incident/Bug Fix</t>
        </is>
      </c>
      <c r="J23" s="75" t="inlineStr">
        <is>
          <t>Low</t>
        </is>
      </c>
      <c r="K23" s="72" t="inlineStr">
        <is>
          <t>Completed</t>
        </is>
      </c>
      <c r="L23" s="74" t="n"/>
    </row>
    <row r="24" ht="30" customHeight="1" s="65">
      <c r="A24" s="69" t="n">
        <v>21</v>
      </c>
      <c r="B24" s="70" t="inlineStr">
        <is>
          <t>April</t>
        </is>
      </c>
      <c r="C24" s="70" t="inlineStr">
        <is>
          <t>Lindiwe</t>
        </is>
      </c>
      <c r="D24" s="70" t="inlineStr">
        <is>
          <t>IT</t>
        </is>
      </c>
      <c r="E24" s="70" t="inlineStr">
        <is>
          <t>Emails</t>
        </is>
      </c>
      <c r="F24" s="70" t="inlineStr">
        <is>
          <t>BPM - Req Allocation</t>
        </is>
      </c>
      <c r="G24" s="70" t="inlineStr">
        <is>
          <t>Allocating the Reqs to correct approvers.</t>
        </is>
      </c>
      <c r="H24" s="70" t="inlineStr">
        <is>
          <t>SANPC</t>
        </is>
      </c>
      <c r="I24" s="70" t="inlineStr">
        <is>
          <t>User Support</t>
        </is>
      </c>
      <c r="J24" s="75" t="inlineStr">
        <is>
          <t>Low</t>
        </is>
      </c>
      <c r="K24" s="72" t="inlineStr">
        <is>
          <t>Completed</t>
        </is>
      </c>
      <c r="L24" s="70" t="n"/>
    </row>
    <row r="25" ht="30" customHeight="1" s="65">
      <c r="A25" s="73" t="n">
        <v>22</v>
      </c>
      <c r="B25" s="74" t="inlineStr">
        <is>
          <t>April</t>
        </is>
      </c>
      <c r="C25" s="74" t="inlineStr">
        <is>
          <t>Lindiwe</t>
        </is>
      </c>
      <c r="D25" s="74" t="inlineStr">
        <is>
          <t>IT</t>
        </is>
      </c>
      <c r="E25" s="74" t="inlineStr">
        <is>
          <t>Emails</t>
        </is>
      </c>
      <c r="F25" s="74" t="inlineStr">
        <is>
          <t>BPM - Transaction Re-allocation</t>
        </is>
      </c>
      <c r="G25" s="74" t="inlineStr">
        <is>
          <t>Re-allocate transactions to Sechaba for approval.</t>
        </is>
      </c>
      <c r="H25" s="74" t="inlineStr">
        <is>
          <t>SANPC</t>
        </is>
      </c>
      <c r="I25" s="74" t="inlineStr">
        <is>
          <t>User Support</t>
        </is>
      </c>
      <c r="J25" s="75" t="inlineStr">
        <is>
          <t>Low</t>
        </is>
      </c>
      <c r="K25" s="72" t="inlineStr">
        <is>
          <t>Completed</t>
        </is>
      </c>
      <c r="L25" s="74" t="n"/>
    </row>
    <row r="26" ht="30" customHeight="1" s="65">
      <c r="A26" s="69" t="n">
        <v>23</v>
      </c>
      <c r="B26" s="70" t="inlineStr">
        <is>
          <t>April</t>
        </is>
      </c>
      <c r="C26" s="70" t="inlineStr">
        <is>
          <t>Lindiwe</t>
        </is>
      </c>
      <c r="D26" s="70" t="inlineStr">
        <is>
          <t>IT</t>
        </is>
      </c>
      <c r="E26" s="70" t="inlineStr">
        <is>
          <t>Emails</t>
        </is>
      </c>
      <c r="F26" s="70" t="inlineStr">
        <is>
          <t>BPM - Scope of Work Loading</t>
        </is>
      </c>
      <c r="G26" s="70" t="inlineStr">
        <is>
          <t>Loading Scope of work for UPS, VMware licenses and Dell laptop Charges.</t>
        </is>
      </c>
      <c r="H26" s="70" t="inlineStr">
        <is>
          <t>SANPC</t>
        </is>
      </c>
      <c r="I26" s="70" t="inlineStr">
        <is>
          <t>User Support</t>
        </is>
      </c>
      <c r="J26" s="75" t="inlineStr">
        <is>
          <t>Low</t>
        </is>
      </c>
      <c r="K26" s="72" t="inlineStr">
        <is>
          <t>Completed</t>
        </is>
      </c>
      <c r="L26" s="70" t="n"/>
    </row>
    <row r="27" ht="30" customHeight="1" s="65">
      <c r="A27" s="73" t="n">
        <v>24</v>
      </c>
      <c r="B27" s="74" t="inlineStr">
        <is>
          <t>April</t>
        </is>
      </c>
      <c r="C27" s="74" t="inlineStr">
        <is>
          <t>Lindiwe</t>
        </is>
      </c>
      <c r="D27" s="74" t="inlineStr">
        <is>
          <t>IT</t>
        </is>
      </c>
      <c r="E27" s="74" t="inlineStr">
        <is>
          <t>77314897</t>
        </is>
      </c>
      <c r="F27" s="74" t="inlineStr">
        <is>
          <t>QBCON Installation</t>
        </is>
      </c>
      <c r="G27" s="74" t="inlineStr">
        <is>
          <t>Installation of QBCON-Plant Maintenance Icon on laptop.</t>
        </is>
      </c>
      <c r="H27" s="74" t="inlineStr">
        <is>
          <t>SANPC</t>
        </is>
      </c>
      <c r="I27" s="74" t="inlineStr">
        <is>
          <t>User Support</t>
        </is>
      </c>
      <c r="J27" s="75" t="inlineStr">
        <is>
          <t>Low</t>
        </is>
      </c>
      <c r="K27" s="72" t="inlineStr">
        <is>
          <t>Completed</t>
        </is>
      </c>
      <c r="L27" s="74" t="n"/>
    </row>
    <row r="28" ht="30" customHeight="1" s="65">
      <c r="A28" s="69" t="n">
        <v>25</v>
      </c>
      <c r="B28" s="70" t="inlineStr">
        <is>
          <t>April</t>
        </is>
      </c>
      <c r="C28" s="70" t="inlineStr">
        <is>
          <t>Lindiwe</t>
        </is>
      </c>
      <c r="D28" s="70" t="inlineStr">
        <is>
          <t>IT</t>
        </is>
      </c>
      <c r="E28" s="70" t="inlineStr">
        <is>
          <t>Emails</t>
        </is>
      </c>
      <c r="F28" s="70" t="inlineStr">
        <is>
          <t>BPM - Discard Reqs/POs</t>
        </is>
      </c>
      <c r="G28" s="70" t="inlineStr">
        <is>
          <t>Discarding all the Reqs Or POs as per the user's Request.</t>
        </is>
      </c>
      <c r="H28" s="70" t="inlineStr">
        <is>
          <t>SANPC</t>
        </is>
      </c>
      <c r="I28" s="70" t="inlineStr">
        <is>
          <t>User Support</t>
        </is>
      </c>
      <c r="J28" s="75" t="inlineStr">
        <is>
          <t>Low</t>
        </is>
      </c>
      <c r="K28" s="72" t="inlineStr">
        <is>
          <t>Completed</t>
        </is>
      </c>
      <c r="L28" s="70" t="n"/>
    </row>
    <row r="29" ht="30" customHeight="1" s="65">
      <c r="A29" s="73" t="n">
        <v>26</v>
      </c>
      <c r="B29" s="74" t="inlineStr">
        <is>
          <t>April</t>
        </is>
      </c>
      <c r="C29" s="74" t="inlineStr">
        <is>
          <t>Lindiwe</t>
        </is>
      </c>
      <c r="D29" s="74" t="inlineStr">
        <is>
          <t>IT</t>
        </is>
      </c>
      <c r="E29" s="74" t="inlineStr">
        <is>
          <t>Emails</t>
        </is>
      </c>
      <c r="F29" s="74" t="inlineStr">
        <is>
          <t>BPM - Grant Access</t>
        </is>
      </c>
      <c r="G29" s="74" t="inlineStr">
        <is>
          <t>Granting Access to BPM for Wayne, Comfort Bunting and Azarias.</t>
        </is>
      </c>
      <c r="H29" s="74" t="inlineStr">
        <is>
          <t>SANPC</t>
        </is>
      </c>
      <c r="I29" s="74" t="inlineStr">
        <is>
          <t>Incident/Bug Fix</t>
        </is>
      </c>
      <c r="J29" s="75" t="inlineStr">
        <is>
          <t>Low</t>
        </is>
      </c>
      <c r="K29" s="72" t="inlineStr">
        <is>
          <t>Completed</t>
        </is>
      </c>
      <c r="L29" s="74" t="n"/>
    </row>
    <row r="30" ht="30" customHeight="1" s="65">
      <c r="A30" s="69" t="n">
        <v>27</v>
      </c>
      <c r="B30" s="70" t="inlineStr">
        <is>
          <t>April</t>
        </is>
      </c>
      <c r="C30" s="70" t="inlineStr">
        <is>
          <t>Lindiwe</t>
        </is>
      </c>
      <c r="D30" s="70" t="inlineStr">
        <is>
          <t>IT</t>
        </is>
      </c>
      <c r="E30" s="70" t="inlineStr">
        <is>
          <t>Emails</t>
        </is>
      </c>
      <c r="F30" s="70" t="inlineStr">
        <is>
          <t>Signing Hub - Grant Access</t>
        </is>
      </c>
      <c r="G30" s="70" t="inlineStr">
        <is>
          <t>Granting Access to Signing hub for Wayne, Comfort Bunting and Azarias.</t>
        </is>
      </c>
      <c r="H30" s="70" t="inlineStr">
        <is>
          <t>SANPC</t>
        </is>
      </c>
      <c r="I30" s="70" t="inlineStr">
        <is>
          <t>Incident/Bug Fix</t>
        </is>
      </c>
      <c r="J30" s="75" t="inlineStr">
        <is>
          <t>Low</t>
        </is>
      </c>
      <c r="K30" s="72" t="inlineStr">
        <is>
          <t>Completed</t>
        </is>
      </c>
      <c r="L30" s="70" t="n"/>
    </row>
    <row r="31" ht="30" customHeight="1" s="65">
      <c r="A31" s="73" t="n">
        <v>28</v>
      </c>
      <c r="B31" s="74" t="inlineStr">
        <is>
          <t>May</t>
        </is>
      </c>
      <c r="C31" s="74" t="inlineStr">
        <is>
          <t>T A Willems</t>
        </is>
      </c>
      <c r="D31" s="74" t="inlineStr">
        <is>
          <t>IT</t>
        </is>
      </c>
      <c r="E31" s="74" t="n"/>
      <c r="F31" s="74" t="inlineStr">
        <is>
          <t>ISS Upgrade - QAS Server Testing</t>
        </is>
      </c>
      <c r="G31" s="74" t="inlineStr">
        <is>
          <t>Encountered issues relating to TempDB and server connectivity. Resolved with assistance from Infrastructure Team.</t>
        </is>
      </c>
      <c r="H31" s="74" t="inlineStr">
        <is>
          <t>PetroSA</t>
        </is>
      </c>
      <c r="I31" s="74" t="inlineStr">
        <is>
          <t>Project</t>
        </is>
      </c>
      <c r="J31" s="76" t="inlineStr">
        <is>
          <t>Medium</t>
        </is>
      </c>
      <c r="K31" s="72" t="inlineStr">
        <is>
          <t>Completed</t>
        </is>
      </c>
      <c r="L31" s="74" t="n"/>
    </row>
    <row r="32" ht="30" customHeight="1" s="65">
      <c r="A32" s="69" t="n">
        <v>29</v>
      </c>
      <c r="B32" s="70" t="inlineStr">
        <is>
          <t>May</t>
        </is>
      </c>
      <c r="C32" s="70" t="inlineStr">
        <is>
          <t>T A Willems</t>
        </is>
      </c>
      <c r="D32" s="70" t="inlineStr">
        <is>
          <t>IT</t>
        </is>
      </c>
      <c r="E32" s="70" t="inlineStr">
        <is>
          <t>Problem:145411</t>
        </is>
      </c>
      <c r="F32" s="70" t="inlineStr">
        <is>
          <t>IIS Tampering - EDI Application Recovery</t>
        </is>
      </c>
      <c r="G32" s="70" t="inlineStr">
        <is>
          <t>Investigated IIS Tampering which resulted in EDI Business Application being unavailable for more than 24 hours. Resolved and provided input to Incident Report.</t>
        </is>
      </c>
      <c r="H32" s="70" t="inlineStr">
        <is>
          <t>PetroSA</t>
        </is>
      </c>
      <c r="I32" s="70" t="inlineStr">
        <is>
          <t>Incident/Bug Fix</t>
        </is>
      </c>
      <c r="J32" s="71" t="inlineStr">
        <is>
          <t>High</t>
        </is>
      </c>
      <c r="K32" s="72" t="inlineStr">
        <is>
          <t>Completed</t>
        </is>
      </c>
      <c r="L32" s="70" t="n"/>
    </row>
    <row r="33" ht="30" customHeight="1" s="65">
      <c r="A33" s="73" t="n">
        <v>30</v>
      </c>
      <c r="B33" s="74" t="inlineStr">
        <is>
          <t>May</t>
        </is>
      </c>
      <c r="C33" s="74" t="inlineStr">
        <is>
          <t>T A Willems</t>
        </is>
      </c>
      <c r="D33" s="74" t="inlineStr">
        <is>
          <t>SAP HR</t>
        </is>
      </c>
      <c r="E33" s="74" t="inlineStr">
        <is>
          <t>CRQ: 77012428</t>
        </is>
      </c>
      <c r="F33" s="74" t="inlineStr">
        <is>
          <t>Compensation Statement - Alternate Solution</t>
        </is>
      </c>
      <c r="G33" s="74" t="inlineStr">
        <is>
          <t>Developed, tested with End Users and released. Deployed via emergency Change to allow SAP Team more time to investigate long term solution.</t>
        </is>
      </c>
      <c r="H33" s="74" t="inlineStr">
        <is>
          <t>PetroSA</t>
        </is>
      </c>
      <c r="I33" s="74" t="inlineStr">
        <is>
          <t>Project</t>
        </is>
      </c>
      <c r="J33" s="71" t="inlineStr">
        <is>
          <t>High</t>
        </is>
      </c>
      <c r="K33" s="72" t="inlineStr">
        <is>
          <t>Completed</t>
        </is>
      </c>
      <c r="L33" s="74" t="n"/>
    </row>
    <row r="34" ht="30" customHeight="1" s="65">
      <c r="A34" s="69" t="n">
        <v>31</v>
      </c>
      <c r="B34" s="70" t="inlineStr">
        <is>
          <t>May</t>
        </is>
      </c>
      <c r="C34" s="70" t="inlineStr">
        <is>
          <t>T A Willems</t>
        </is>
      </c>
      <c r="D34" s="70" t="inlineStr">
        <is>
          <t>IT</t>
        </is>
      </c>
      <c r="E34" s="70" t="n"/>
      <c r="F34" s="70" t="inlineStr">
        <is>
          <t>BBEE ESD Stakeholder Database Solution</t>
        </is>
      </c>
      <c r="G34" s="70" t="inlineStr">
        <is>
          <t>Initial session conducted with Business Users to understand requirements. Further deliberation required to determine direction.</t>
        </is>
      </c>
      <c r="H34" s="70" t="inlineStr">
        <is>
          <t>PetroSA/SANPC</t>
        </is>
      </c>
      <c r="I34" s="70" t="inlineStr">
        <is>
          <t>User Support</t>
        </is>
      </c>
      <c r="J34" s="75" t="inlineStr">
        <is>
          <t>Low</t>
        </is>
      </c>
      <c r="K34" s="71" t="inlineStr">
        <is>
          <t>Pending</t>
        </is>
      </c>
      <c r="L34" s="70" t="n"/>
    </row>
    <row r="35" ht="30" customHeight="1" s="65">
      <c r="A35" s="73" t="n">
        <v>32</v>
      </c>
      <c r="B35" s="74" t="inlineStr">
        <is>
          <t>May</t>
        </is>
      </c>
      <c r="C35" s="74" t="inlineStr">
        <is>
          <t>T A Willems</t>
        </is>
      </c>
      <c r="D35" s="74" t="inlineStr">
        <is>
          <t>IT</t>
        </is>
      </c>
      <c r="E35" s="74" t="inlineStr">
        <is>
          <t>52710601</t>
        </is>
      </c>
      <c r="F35" s="74" t="inlineStr">
        <is>
          <t>Procurement Email Tender Mailbox Replacement</t>
        </is>
      </c>
      <c r="G35" s="74" t="inlineStr">
        <is>
          <t>Requirement complete, planning complete, currently in development. Ongoing feedback sessions with Business Users. Planned finalisation Mid-June.</t>
        </is>
      </c>
      <c r="H35" s="74" t="inlineStr">
        <is>
          <t>PetroSA/SANPC</t>
        </is>
      </c>
      <c r="I35" s="74" t="inlineStr">
        <is>
          <t>Project</t>
        </is>
      </c>
      <c r="J35" s="76" t="inlineStr">
        <is>
          <t>Medium</t>
        </is>
      </c>
      <c r="K35" s="76" t="inlineStr">
        <is>
          <t>In Progress</t>
        </is>
      </c>
      <c r="L35" s="74" t="n"/>
    </row>
    <row r="36" ht="30" customHeight="1" s="65">
      <c r="A36" s="69" t="n">
        <v>33</v>
      </c>
      <c r="B36" s="70" t="inlineStr">
        <is>
          <t>May</t>
        </is>
      </c>
      <c r="C36" s="70" t="inlineStr">
        <is>
          <t>T A Willems</t>
        </is>
      </c>
      <c r="D36" s="70" t="inlineStr">
        <is>
          <t>IT</t>
        </is>
      </c>
      <c r="E36" s="70" t="n"/>
      <c r="F36" s="70" t="inlineStr">
        <is>
          <t>ISS Upgrade - Procurement Public Website Update</t>
        </is>
      </c>
      <c r="G36" s="70" t="inlineStr">
        <is>
          <t>Development complete, awaiting time from Project Team to confirm SQL Databases/Tables/Views before finalising and sending to CCB for Go Live.</t>
        </is>
      </c>
      <c r="H36" s="70" t="inlineStr">
        <is>
          <t>PetroSA</t>
        </is>
      </c>
      <c r="I36" s="70" t="inlineStr">
        <is>
          <t>Project</t>
        </is>
      </c>
      <c r="J36" s="76" t="inlineStr">
        <is>
          <t>Medium</t>
        </is>
      </c>
      <c r="K36" s="76" t="inlineStr">
        <is>
          <t>In Progress</t>
        </is>
      </c>
      <c r="L36" s="70" t="n"/>
    </row>
    <row r="37" ht="30" customHeight="1" s="65">
      <c r="A37" s="73" t="n">
        <v>34</v>
      </c>
      <c r="B37" s="74" t="inlineStr">
        <is>
          <t>May</t>
        </is>
      </c>
      <c r="C37" s="74" t="inlineStr">
        <is>
          <t>T A Willems</t>
        </is>
      </c>
      <c r="D37" s="74" t="inlineStr">
        <is>
          <t>IT</t>
        </is>
      </c>
      <c r="E37" s="74" t="n"/>
      <c r="F37" s="74" t="inlineStr">
        <is>
          <t>ISS Production - SQL 2022 Cluster Build</t>
        </is>
      </c>
      <c r="G37" s="74" t="inlineStr">
        <is>
          <t>Specifications agreed with Infrastructure, Project Team and Vendor. SQL Server 2022 Cluster build started. To be finalised next week.</t>
        </is>
      </c>
      <c r="H37" s="74" t="inlineStr">
        <is>
          <t>PetroSA</t>
        </is>
      </c>
      <c r="I37" s="74" t="inlineStr">
        <is>
          <t>Project</t>
        </is>
      </c>
      <c r="J37" s="76" t="inlineStr">
        <is>
          <t>Medium</t>
        </is>
      </c>
      <c r="K37" s="76" t="inlineStr">
        <is>
          <t>In Progress</t>
        </is>
      </c>
      <c r="L37" s="74" t="n"/>
    </row>
    <row r="38" ht="30" customHeight="1" s="65">
      <c r="A38" s="69" t="n">
        <v>35</v>
      </c>
      <c r="B38" s="70" t="inlineStr">
        <is>
          <t>May</t>
        </is>
      </c>
      <c r="C38" s="70" t="inlineStr">
        <is>
          <t>T A Willems</t>
        </is>
      </c>
      <c r="D38" s="70" t="inlineStr">
        <is>
          <t>IT</t>
        </is>
      </c>
      <c r="E38" s="70" t="n"/>
      <c r="F38" s="70" t="inlineStr">
        <is>
          <t>AG Audit Ad-Hoc Support</t>
        </is>
      </c>
      <c r="G38" s="70" t="inlineStr">
        <is>
          <t>Ongoing ad-hoc requests for AG Audit queries for Security and Business Applications Team.</t>
        </is>
      </c>
      <c r="H38" s="70" t="inlineStr">
        <is>
          <t>PetroSA</t>
        </is>
      </c>
      <c r="I38" s="70" t="inlineStr">
        <is>
          <t>User Support</t>
        </is>
      </c>
      <c r="J38" s="75" t="inlineStr">
        <is>
          <t>Low</t>
        </is>
      </c>
      <c r="K38" s="76" t="inlineStr">
        <is>
          <t>In Progress</t>
        </is>
      </c>
      <c r="L38" s="70" t="n"/>
    </row>
    <row r="39" ht="30" customHeight="1" s="65">
      <c r="A39" s="73" t="n">
        <v>36</v>
      </c>
      <c r="B39" s="74" t="inlineStr">
        <is>
          <t>May</t>
        </is>
      </c>
      <c r="C39" s="74" t="inlineStr">
        <is>
          <t>T A Willems</t>
        </is>
      </c>
      <c r="D39" s="74" t="inlineStr">
        <is>
          <t>IT</t>
        </is>
      </c>
      <c r="E39" s="74" t="n"/>
      <c r="F39" s="74" t="inlineStr">
        <is>
          <t>Customer Online Application Relaunch</t>
        </is>
      </c>
      <c r="G39" s="74" t="inlineStr">
        <is>
          <t>Requirements sent to Business Users. Redesigned two business applications based on End User feedback. Currently in development. Next session 3 June.</t>
        </is>
      </c>
      <c r="H39" s="74" t="inlineStr">
        <is>
          <t>PetroSA</t>
        </is>
      </c>
      <c r="I39" s="74" t="inlineStr">
        <is>
          <t>Project</t>
        </is>
      </c>
      <c r="J39" s="76" t="inlineStr">
        <is>
          <t>Medium</t>
        </is>
      </c>
      <c r="K39" s="76" t="inlineStr">
        <is>
          <t>In Progress</t>
        </is>
      </c>
      <c r="L39" s="74" t="n"/>
    </row>
    <row r="40" ht="30" customHeight="1" s="65">
      <c r="A40" s="69" t="n">
        <v>37</v>
      </c>
      <c r="B40" s="70" t="inlineStr">
        <is>
          <t>May</t>
        </is>
      </c>
      <c r="C40" s="70" t="inlineStr">
        <is>
          <t>T A Willems</t>
        </is>
      </c>
      <c r="D40" s="70" t="inlineStr">
        <is>
          <t>IT</t>
        </is>
      </c>
      <c r="E40" s="70" t="inlineStr">
        <is>
          <t>Problem: 133172</t>
        </is>
      </c>
      <c r="F40" s="70" t="inlineStr">
        <is>
          <t>ESS Problem Investigation</t>
        </is>
      </c>
      <c r="G40" s="70" t="inlineStr">
        <is>
          <t>Issues point to Meraki implemented during SD-WAN. Next step: get assistance from Infrastructure Team and MTN. Issue isolated to remote site access Web Applications in Parow.</t>
        </is>
      </c>
      <c r="H40" s="70" t="inlineStr">
        <is>
          <t>PetroSA</t>
        </is>
      </c>
      <c r="I40" s="70" t="inlineStr">
        <is>
          <t>Project</t>
        </is>
      </c>
      <c r="J40" s="75" t="inlineStr">
        <is>
          <t>Low</t>
        </is>
      </c>
      <c r="K40" s="76" t="inlineStr">
        <is>
          <t>In Progress</t>
        </is>
      </c>
      <c r="L40" s="70" t="n"/>
    </row>
    <row r="41" ht="30" customHeight="1" s="65">
      <c r="A41" s="73" t="n">
        <v>38</v>
      </c>
      <c r="B41" s="74" t="inlineStr">
        <is>
          <t>May</t>
        </is>
      </c>
      <c r="C41" s="74" t="inlineStr">
        <is>
          <t>T A Willems</t>
        </is>
      </c>
      <c r="D41" s="74" t="inlineStr">
        <is>
          <t>IT</t>
        </is>
      </c>
      <c r="E41" s="74" t="n"/>
      <c r="F41" s="74" t="inlineStr">
        <is>
          <t>Mentoring: Phase 1</t>
        </is>
      </c>
      <c r="G41" s="74" t="inlineStr">
        <is>
          <t>Drafted and discussed plan with Mentee and shared with Line Manager.</t>
        </is>
      </c>
      <c r="H41" s="74" t="inlineStr">
        <is>
          <t>SANPC</t>
        </is>
      </c>
      <c r="I41" s="74" t="inlineStr">
        <is>
          <t>Mentoring</t>
        </is>
      </c>
      <c r="J41" s="75" t="inlineStr">
        <is>
          <t>Low</t>
        </is>
      </c>
      <c r="K41" s="76" t="inlineStr">
        <is>
          <t>In Progress</t>
        </is>
      </c>
      <c r="L41" s="74" t="n"/>
    </row>
    <row r="42" ht="30" customHeight="1" s="65">
      <c r="A42" s="69" t="n">
        <v>39</v>
      </c>
      <c r="B42" s="70" t="inlineStr">
        <is>
          <t>May</t>
        </is>
      </c>
      <c r="C42" s="70" t="inlineStr">
        <is>
          <t>T A Willems</t>
        </is>
      </c>
      <c r="D42" s="70" t="inlineStr">
        <is>
          <t>IT</t>
        </is>
      </c>
      <c r="E42" s="70" t="n"/>
      <c r="F42" s="70" t="inlineStr">
        <is>
          <t>Apply Screensavers for the Month</t>
        </is>
      </c>
      <c r="G42" s="70" t="inlineStr">
        <is>
          <t>3 Screensavers applied for the month.</t>
        </is>
      </c>
      <c r="H42" s="70" t="inlineStr">
        <is>
          <t>PetroSA</t>
        </is>
      </c>
      <c r="I42" s="70" t="inlineStr">
        <is>
          <t>Other</t>
        </is>
      </c>
      <c r="J42" s="75" t="inlineStr">
        <is>
          <t>Low</t>
        </is>
      </c>
      <c r="K42" s="72" t="inlineStr">
        <is>
          <t>Completed</t>
        </is>
      </c>
      <c r="L42" s="70" t="n"/>
    </row>
    <row r="43" ht="30" customHeight="1" s="65">
      <c r="A43" s="73" t="n">
        <v>40</v>
      </c>
      <c r="B43" s="74" t="inlineStr">
        <is>
          <t>May</t>
        </is>
      </c>
      <c r="C43" s="74" t="inlineStr">
        <is>
          <t>T A Willems</t>
        </is>
      </c>
      <c r="D43" s="74" t="inlineStr">
        <is>
          <t>IT</t>
        </is>
      </c>
      <c r="E43" s="74" t="inlineStr">
        <is>
          <t>74568700</t>
        </is>
      </c>
      <c r="F43" s="74" t="inlineStr">
        <is>
          <t>SharePoint Well Data Site Investigation</t>
        </is>
      </c>
      <c r="G43" s="74" t="inlineStr">
        <is>
          <t>Investigated claimed disappearance of folders. Created Stream Search Views for NVU Team. Resolved issues with Python programs created by NVU Team.</t>
        </is>
      </c>
      <c r="H43" s="74" t="inlineStr">
        <is>
          <t>PetroSA</t>
        </is>
      </c>
      <c r="I43" s="74" t="inlineStr">
        <is>
          <t>Project</t>
        </is>
      </c>
      <c r="J43" s="75" t="inlineStr">
        <is>
          <t>Low</t>
        </is>
      </c>
      <c r="K43" s="76" t="inlineStr">
        <is>
          <t>In Progress</t>
        </is>
      </c>
      <c r="L43" s="74" t="n"/>
    </row>
    <row r="44" ht="30" customHeight="1" s="65">
      <c r="A44" s="69" t="n">
        <v>41</v>
      </c>
      <c r="B44" s="70" t="inlineStr">
        <is>
          <t>May</t>
        </is>
      </c>
      <c r="C44" s="70" t="inlineStr">
        <is>
          <t>Mphatheleni Matidze</t>
        </is>
      </c>
      <c r="D44" s="70" t="inlineStr">
        <is>
          <t>Business Application</t>
        </is>
      </c>
      <c r="E44" s="70" t="inlineStr">
        <is>
          <t>78078099</t>
        </is>
      </c>
      <c r="F44" s="70" t="inlineStr">
        <is>
          <t>Restore CEF Website</t>
        </is>
      </c>
      <c r="G44" s="70" t="inlineStr">
        <is>
          <t>Service was temporarily down due to storage limit reached.</t>
        </is>
      </c>
      <c r="H44" s="70" t="inlineStr">
        <is>
          <t>Legacy/CEF</t>
        </is>
      </c>
      <c r="I44" s="70" t="inlineStr">
        <is>
          <t>Other</t>
        </is>
      </c>
      <c r="J44" s="71" t="inlineStr">
        <is>
          <t>High</t>
        </is>
      </c>
      <c r="K44" s="72" t="inlineStr">
        <is>
          <t>Completed</t>
        </is>
      </c>
      <c r="L44" s="70" t="n"/>
    </row>
    <row r="45" ht="30" customHeight="1" s="65">
      <c r="A45" s="73" t="n">
        <v>42</v>
      </c>
      <c r="B45" s="74" t="inlineStr">
        <is>
          <t>May</t>
        </is>
      </c>
      <c r="C45" s="74" t="inlineStr">
        <is>
          <t>Mphatheleni Matidze</t>
        </is>
      </c>
      <c r="D45" s="74" t="inlineStr">
        <is>
          <t>Business Application</t>
        </is>
      </c>
      <c r="E45" s="74" t="inlineStr">
        <is>
          <t>77168702</t>
        </is>
      </c>
      <c r="F45" s="74" t="inlineStr">
        <is>
          <t>CSI - Web Pages and Contact Form Creation</t>
        </is>
      </c>
      <c r="G45" s="74" t="inlineStr">
        <is>
          <t>Create a CSI overview, Contact, Services Pages.</t>
        </is>
      </c>
      <c r="H45" s="74" t="inlineStr">
        <is>
          <t>SANPC</t>
        </is>
      </c>
      <c r="I45" s="74" t="inlineStr">
        <is>
          <t>Project</t>
        </is>
      </c>
      <c r="J45" s="75" t="inlineStr">
        <is>
          <t>Low</t>
        </is>
      </c>
      <c r="K45" s="72" t="inlineStr">
        <is>
          <t>Completed</t>
        </is>
      </c>
      <c r="L45" s="74" t="n"/>
    </row>
    <row r="46" ht="30" customHeight="1" s="65">
      <c r="A46" s="69" t="n">
        <v>43</v>
      </c>
      <c r="B46" s="70" t="inlineStr">
        <is>
          <t>May</t>
        </is>
      </c>
      <c r="C46" s="70" t="inlineStr">
        <is>
          <t>Mphatheleni Matidze</t>
        </is>
      </c>
      <c r="D46" s="70" t="inlineStr">
        <is>
          <t>Business Application</t>
        </is>
      </c>
      <c r="E46" s="70" t="inlineStr">
        <is>
          <t>75627621</t>
        </is>
      </c>
      <c r="F46" s="70" t="inlineStr">
        <is>
          <t>Configure/Develop Document Management System</t>
        </is>
      </c>
      <c r="G46" s="70" t="inlineStr">
        <is>
          <t>Configure/Develop Document Management System with Reviewers Workflow Using React, SharePoint and Power Automate.</t>
        </is>
      </c>
      <c r="H46" s="70" t="inlineStr">
        <is>
          <t>SANPC</t>
        </is>
      </c>
      <c r="I46" s="70" t="inlineStr">
        <is>
          <t>Project</t>
        </is>
      </c>
      <c r="J46" s="76" t="inlineStr">
        <is>
          <t>Medium</t>
        </is>
      </c>
      <c r="K46" s="76" t="inlineStr">
        <is>
          <t>In Progress</t>
        </is>
      </c>
      <c r="L46" s="70" t="n"/>
    </row>
    <row r="47" ht="30" customHeight="1" s="65">
      <c r="A47" s="73" t="n">
        <v>44</v>
      </c>
      <c r="B47" s="74" t="inlineStr">
        <is>
          <t>May</t>
        </is>
      </c>
      <c r="C47" s="74" t="inlineStr">
        <is>
          <t>Mphatheleni Matidze</t>
        </is>
      </c>
      <c r="D47" s="74" t="inlineStr">
        <is>
          <t>Business Application</t>
        </is>
      </c>
      <c r="E47" s="74" t="inlineStr">
        <is>
          <t>77148063</t>
        </is>
      </c>
      <c r="F47" s="74" t="inlineStr">
        <is>
          <t>Procurement Shared Drive</t>
        </is>
      </c>
      <c r="G47" s="74" t="inlineStr">
        <is>
          <t>Create a SharePoint Drive for PetroSA and SANPC to collaborate and share resources.</t>
        </is>
      </c>
      <c r="H47" s="74" t="inlineStr">
        <is>
          <t>SANPC</t>
        </is>
      </c>
      <c r="I47" s="74" t="inlineStr">
        <is>
          <t>Project</t>
        </is>
      </c>
      <c r="J47" s="75" t="inlineStr">
        <is>
          <t>Low</t>
        </is>
      </c>
      <c r="K47" s="72" t="inlineStr">
        <is>
          <t>Completed</t>
        </is>
      </c>
      <c r="L47" s="74" t="n"/>
    </row>
    <row r="48" ht="30" customHeight="1" s="65">
      <c r="A48" s="69" t="n">
        <v>45</v>
      </c>
      <c r="B48" s="70" t="inlineStr">
        <is>
          <t>May</t>
        </is>
      </c>
      <c r="C48" s="70" t="inlineStr">
        <is>
          <t>Mphatheleni Matidze</t>
        </is>
      </c>
      <c r="D48" s="70" t="inlineStr">
        <is>
          <t>Business Application</t>
        </is>
      </c>
      <c r="E48" s="70" t="inlineStr">
        <is>
          <t>78079869</t>
        </is>
      </c>
      <c r="F48" s="70" t="inlineStr">
        <is>
          <t>Risk Management System</t>
        </is>
      </c>
      <c r="G48" s="70" t="inlineStr">
        <is>
          <t>Assist in development and testing of the Enterprise Risk Management System.</t>
        </is>
      </c>
      <c r="H48" s="70" t="inlineStr">
        <is>
          <t>SANPC</t>
        </is>
      </c>
      <c r="I48" s="70" t="inlineStr">
        <is>
          <t>Project</t>
        </is>
      </c>
      <c r="J48" s="76" t="inlineStr">
        <is>
          <t>Medium</t>
        </is>
      </c>
      <c r="K48" s="76" t="inlineStr">
        <is>
          <t>In Progress</t>
        </is>
      </c>
      <c r="L48" s="70" t="n"/>
    </row>
    <row r="49" ht="30" customHeight="1" s="65">
      <c r="A49" s="73" t="n">
        <v>46</v>
      </c>
      <c r="B49" s="74" t="inlineStr">
        <is>
          <t>May</t>
        </is>
      </c>
      <c r="C49" s="74" t="inlineStr">
        <is>
          <t>Mphatheleni Matidze</t>
        </is>
      </c>
      <c r="D49" s="74" t="inlineStr">
        <is>
          <t>Business Application</t>
        </is>
      </c>
      <c r="E49" s="74" t="inlineStr">
        <is>
          <t>78080759</t>
        </is>
      </c>
      <c r="F49" s="74" t="inlineStr">
        <is>
          <t>Update and Redeploy CEF Internal Mobile App</t>
        </is>
      </c>
      <c r="G49" s="74" t="inlineStr">
        <is>
          <t>The CEF Mobile App required significant updates to accommodate new functional requirements, security enhancements, and updated technology libraries.</t>
        </is>
      </c>
      <c r="H49" s="74" t="inlineStr">
        <is>
          <t>Legacy/CEF</t>
        </is>
      </c>
      <c r="I49" s="74" t="inlineStr">
        <is>
          <t>Project</t>
        </is>
      </c>
      <c r="J49" s="75" t="inlineStr">
        <is>
          <t>Low</t>
        </is>
      </c>
      <c r="K49" s="76" t="inlineStr">
        <is>
          <t>In Progress</t>
        </is>
      </c>
      <c r="L49" s="74" t="n"/>
    </row>
    <row r="50" ht="30" customHeight="1" s="65">
      <c r="A50" s="69" t="n">
        <v>47</v>
      </c>
      <c r="B50" s="70" t="inlineStr">
        <is>
          <t>May</t>
        </is>
      </c>
      <c r="C50" s="70" t="inlineStr">
        <is>
          <t>Mphatheleni Matidze</t>
        </is>
      </c>
      <c r="D50" s="70" t="inlineStr">
        <is>
          <t>Business Application</t>
        </is>
      </c>
      <c r="E50" s="70" t="n"/>
      <c r="F50" s="70" t="inlineStr">
        <is>
          <t>SANPC Letterhead Update on Intranet</t>
        </is>
      </c>
      <c r="G50" s="70" t="inlineStr">
        <is>
          <t>Updated the SANPC letterhead on the Intranet.</t>
        </is>
      </c>
      <c r="H50" s="70" t="inlineStr">
        <is>
          <t>SANPC</t>
        </is>
      </c>
      <c r="I50" s="70" t="inlineStr">
        <is>
          <t>Admin/Config</t>
        </is>
      </c>
      <c r="J50" s="75" t="inlineStr">
        <is>
          <t>Low</t>
        </is>
      </c>
      <c r="K50" s="72" t="inlineStr">
        <is>
          <t>Completed</t>
        </is>
      </c>
      <c r="L50" s="70" t="n"/>
    </row>
    <row r="51" ht="30" customHeight="1" s="65">
      <c r="A51" s="73" t="n">
        <v>48</v>
      </c>
      <c r="B51" s="74" t="inlineStr">
        <is>
          <t>May</t>
        </is>
      </c>
      <c r="C51" s="74" t="inlineStr">
        <is>
          <t>Shennaz</t>
        </is>
      </c>
      <c r="D51" s="74" t="inlineStr">
        <is>
          <t>SAP SD</t>
        </is>
      </c>
      <c r="E51" s="74" t="n"/>
      <c r="F51" s="74" t="inlineStr">
        <is>
          <t>Pricing Condition Fix</t>
        </is>
      </c>
      <c r="G51" s="74" t="inlineStr">
        <is>
          <t>Implemented and tested pricing access sequence changes to resolve incorrect pricing determination.</t>
        </is>
      </c>
      <c r="H51" s="74" t="inlineStr">
        <is>
          <t>PetroSA</t>
        </is>
      </c>
      <c r="I51" s="74" t="inlineStr">
        <is>
          <t>Project</t>
        </is>
      </c>
      <c r="J51" s="75" t="inlineStr">
        <is>
          <t>Low</t>
        </is>
      </c>
      <c r="K51" s="72" t="inlineStr">
        <is>
          <t>Completed</t>
        </is>
      </c>
      <c r="L51" s="74" t="n"/>
    </row>
    <row r="52" ht="30" customHeight="1" s="65">
      <c r="A52" s="69" t="n">
        <v>49</v>
      </c>
      <c r="B52" s="70" t="inlineStr">
        <is>
          <t>May</t>
        </is>
      </c>
      <c r="C52" s="70" t="inlineStr">
        <is>
          <t>Shennaz</t>
        </is>
      </c>
      <c r="D52" s="70" t="inlineStr">
        <is>
          <t>SAP MM</t>
        </is>
      </c>
      <c r="E52" s="70" t="n"/>
      <c r="F52" s="70" t="inlineStr">
        <is>
          <t>Contract Expiry Enhancement Analysis</t>
        </is>
      </c>
      <c r="G52" s="70" t="inlineStr">
        <is>
          <t>Continued analysis of expired contract processing and SES creation behaviour. Coordinated with ABAP and business teams.</t>
        </is>
      </c>
      <c r="H52" s="70" t="inlineStr">
        <is>
          <t>PetroSA</t>
        </is>
      </c>
      <c r="I52" s="70" t="inlineStr">
        <is>
          <t>Reporting</t>
        </is>
      </c>
      <c r="J52" s="75" t="inlineStr">
        <is>
          <t>Low</t>
        </is>
      </c>
      <c r="K52" s="76" t="inlineStr">
        <is>
          <t>In Progress</t>
        </is>
      </c>
      <c r="L52" s="70" t="n"/>
    </row>
    <row r="53" ht="30" customHeight="1" s="65">
      <c r="A53" s="73" t="n">
        <v>50</v>
      </c>
      <c r="B53" s="74" t="inlineStr">
        <is>
          <t>May</t>
        </is>
      </c>
      <c r="C53" s="74" t="inlineStr">
        <is>
          <t>Shennaz</t>
        </is>
      </c>
      <c r="D53" s="74" t="inlineStr">
        <is>
          <t>SAP FI</t>
        </is>
      </c>
      <c r="E53" s="74" t="n"/>
      <c r="F53" s="74" t="inlineStr">
        <is>
          <t>Ghana Company Code Configuration</t>
        </is>
      </c>
      <c r="G53" s="74" t="inlineStr">
        <is>
          <t>Prepared COA upload structure and reviewed configuration readiness for new company code.</t>
        </is>
      </c>
      <c r="H53" s="74" t="inlineStr">
        <is>
          <t>PetroSA Ghana</t>
        </is>
      </c>
      <c r="I53" s="74" t="inlineStr">
        <is>
          <t>Admin/Config</t>
        </is>
      </c>
      <c r="J53" s="75" t="inlineStr">
        <is>
          <t>Low</t>
        </is>
      </c>
      <c r="K53" s="76" t="inlineStr">
        <is>
          <t>In Progress</t>
        </is>
      </c>
      <c r="L53" s="74" t="n"/>
    </row>
    <row r="54" ht="30" customHeight="1" s="65">
      <c r="A54" s="69" t="n">
        <v>51</v>
      </c>
      <c r="B54" s="70" t="inlineStr">
        <is>
          <t>May</t>
        </is>
      </c>
      <c r="C54" s="70" t="inlineStr">
        <is>
          <t>Shennaz</t>
        </is>
      </c>
      <c r="D54" s="70" t="inlineStr">
        <is>
          <t>SAP MM</t>
        </is>
      </c>
      <c r="E54" s="70" t="n"/>
      <c r="F54" s="70" t="inlineStr">
        <is>
          <t>STO / Workflow Notifications</t>
        </is>
      </c>
      <c r="G54" s="70" t="inlineStr">
        <is>
          <t>Investigated notification issues impacting STO and PO related workflows.</t>
        </is>
      </c>
      <c r="H54" s="70" t="inlineStr">
        <is>
          <t>PetroSA</t>
        </is>
      </c>
      <c r="I54" s="70" t="inlineStr">
        <is>
          <t>Incident/Bug Fix</t>
        </is>
      </c>
      <c r="J54" s="75" t="inlineStr">
        <is>
          <t>Low</t>
        </is>
      </c>
      <c r="K54" s="72" t="inlineStr">
        <is>
          <t>Completed</t>
        </is>
      </c>
      <c r="L54" s="70" t="n"/>
    </row>
    <row r="55" ht="30" customHeight="1" s="65">
      <c r="A55" s="73" t="n">
        <v>52</v>
      </c>
      <c r="B55" s="74" t="inlineStr">
        <is>
          <t>May</t>
        </is>
      </c>
      <c r="C55" s="74" t="inlineStr">
        <is>
          <t>Shennaz</t>
        </is>
      </c>
      <c r="D55" s="74" t="inlineStr">
        <is>
          <t>SAP FI</t>
        </is>
      </c>
      <c r="E55" s="74" t="n"/>
      <c r="F55" s="74" t="inlineStr">
        <is>
          <t>Foreign Currency Vendor Clearing</t>
        </is>
      </c>
      <c r="G55" s="74" t="inlineStr">
        <is>
          <t>Analysed and supported vendor clearing and reconciliation requirements.</t>
        </is>
      </c>
      <c r="H55" s="74" t="inlineStr">
        <is>
          <t>PetroSA</t>
        </is>
      </c>
      <c r="I55" s="74" t="inlineStr">
        <is>
          <t>User Support</t>
        </is>
      </c>
      <c r="J55" s="75" t="inlineStr">
        <is>
          <t>Low</t>
        </is>
      </c>
      <c r="K55" s="72" t="inlineStr">
        <is>
          <t>Completed</t>
        </is>
      </c>
      <c r="L55" s="74" t="n"/>
    </row>
    <row r="56" ht="30" customHeight="1" s="65">
      <c r="A56" s="69" t="n">
        <v>53</v>
      </c>
      <c r="B56" s="70" t="inlineStr">
        <is>
          <t>May</t>
        </is>
      </c>
      <c r="C56" s="70" t="inlineStr">
        <is>
          <t>Shennaz</t>
        </is>
      </c>
      <c r="D56" s="70" t="inlineStr">
        <is>
          <t>SAP PS</t>
        </is>
      </c>
      <c r="E56" s="70" t="n"/>
      <c r="F56" s="70" t="inlineStr">
        <is>
          <t>Project Commitments Analysis</t>
        </is>
      </c>
      <c r="G56" s="70" t="inlineStr">
        <is>
          <t>Investigated PR/PO commitment reporting and project system behaviour.</t>
        </is>
      </c>
      <c r="H56" s="70" t="inlineStr">
        <is>
          <t>PetroSA</t>
        </is>
      </c>
      <c r="I56" s="70" t="inlineStr">
        <is>
          <t>Project</t>
        </is>
      </c>
      <c r="J56" s="76" t="inlineStr">
        <is>
          <t>Medium</t>
        </is>
      </c>
      <c r="K56" s="72" t="inlineStr">
        <is>
          <t>Completed</t>
        </is>
      </c>
      <c r="L56" s="70" t="n"/>
    </row>
    <row r="57" ht="30" customHeight="1" s="65">
      <c r="A57" s="73" t="n">
        <v>54</v>
      </c>
      <c r="B57" s="74" t="inlineStr">
        <is>
          <t>May</t>
        </is>
      </c>
      <c r="C57" s="74" t="inlineStr">
        <is>
          <t>Shennaz</t>
        </is>
      </c>
      <c r="D57" s="74" t="inlineStr">
        <is>
          <t>SAP FI/CO</t>
        </is>
      </c>
      <c r="E57" s="74" t="n"/>
      <c r="F57" s="74" t="inlineStr">
        <is>
          <t>Reporting &amp; Queries</t>
        </is>
      </c>
      <c r="G57" s="74" t="inlineStr">
        <is>
          <t>Developed and analysed SAP queries and reports for finance and procurement users.</t>
        </is>
      </c>
      <c r="H57" s="74" t="inlineStr">
        <is>
          <t>PetroSA</t>
        </is>
      </c>
      <c r="I57" s="74" t="inlineStr">
        <is>
          <t>Project</t>
        </is>
      </c>
      <c r="J57" s="76" t="inlineStr">
        <is>
          <t>Medium</t>
        </is>
      </c>
      <c r="K57" s="76" t="inlineStr">
        <is>
          <t>In Progress</t>
        </is>
      </c>
      <c r="L57" s="74" t="n"/>
    </row>
    <row r="58" ht="30" customHeight="1" s="65">
      <c r="A58" s="69" t="n">
        <v>55</v>
      </c>
      <c r="B58" s="70" t="inlineStr">
        <is>
          <t>May</t>
        </is>
      </c>
      <c r="C58" s="70" t="inlineStr">
        <is>
          <t>Shennaz</t>
        </is>
      </c>
      <c r="D58" s="70" t="inlineStr">
        <is>
          <t>SAP Support</t>
        </is>
      </c>
      <c r="E58" s="70" t="n"/>
      <c r="F58" s="70" t="inlineStr">
        <is>
          <t>General SAP Support</t>
        </is>
      </c>
      <c r="G58" s="70" t="inlineStr">
        <is>
          <t>Provided incident resolution, user support, testing, documentation and change management activities.</t>
        </is>
      </c>
      <c r="H58" s="70" t="inlineStr">
        <is>
          <t>PetroSA/SANPC</t>
        </is>
      </c>
      <c r="I58" s="70" t="inlineStr">
        <is>
          <t>Incident/Bug Fix</t>
        </is>
      </c>
      <c r="J58" s="75" t="inlineStr">
        <is>
          <t>Low</t>
        </is>
      </c>
      <c r="K58" s="72" t="inlineStr">
        <is>
          <t>Completed</t>
        </is>
      </c>
      <c r="L58" s="70" t="n"/>
    </row>
    <row r="59" ht="30" customHeight="1" s="65">
      <c r="A59" s="73" t="n">
        <v>56</v>
      </c>
      <c r="B59" s="74" t="inlineStr">
        <is>
          <t>May</t>
        </is>
      </c>
      <c r="C59" s="74" t="inlineStr">
        <is>
          <t>Nyameka</t>
        </is>
      </c>
      <c r="D59" s="74" t="inlineStr">
        <is>
          <t>HR/Payroll</t>
        </is>
      </c>
      <c r="E59" s="74" t="inlineStr">
        <is>
          <t>69585655</t>
        </is>
      </c>
      <c r="F59" s="74" t="inlineStr">
        <is>
          <t>October 2025 Payslip Discrepancy</t>
        </is>
      </c>
      <c r="G59" s="74" t="inlineStr">
        <is>
          <t>The SARS payment reflected in the October 2025 payslips is not aligned with Sage records for SANPC.</t>
        </is>
      </c>
      <c r="H59" s="74" t="inlineStr">
        <is>
          <t>SANPC</t>
        </is>
      </c>
      <c r="I59" s="74" t="inlineStr">
        <is>
          <t>Admin/Config</t>
        </is>
      </c>
      <c r="J59" s="75" t="inlineStr">
        <is>
          <t>Low</t>
        </is>
      </c>
      <c r="K59" s="72" t="inlineStr">
        <is>
          <t>Completed</t>
        </is>
      </c>
      <c r="L59" s="74" t="n"/>
    </row>
    <row r="60" ht="30" customHeight="1" s="65">
      <c r="A60" s="69" t="n">
        <v>57</v>
      </c>
      <c r="B60" s="70" t="inlineStr">
        <is>
          <t>May</t>
        </is>
      </c>
      <c r="C60" s="70" t="inlineStr">
        <is>
          <t>Nyameka</t>
        </is>
      </c>
      <c r="D60" s="70" t="inlineStr">
        <is>
          <t>HR/Payroll</t>
        </is>
      </c>
      <c r="E60" s="70" t="inlineStr">
        <is>
          <t>76920689</t>
        </is>
      </c>
      <c r="F60" s="70" t="inlineStr">
        <is>
          <t>Shift Roster Configuration on Sage (Saldanha)</t>
        </is>
      </c>
      <c r="G60" s="70" t="inlineStr">
        <is>
          <t>Enablement of the shift roster functionality for the Saldanha site on Sage.</t>
        </is>
      </c>
      <c r="H60" s="70" t="inlineStr">
        <is>
          <t>SANPC</t>
        </is>
      </c>
      <c r="I60" s="70" t="inlineStr">
        <is>
          <t>Admin/Config</t>
        </is>
      </c>
      <c r="J60" s="75" t="inlineStr">
        <is>
          <t>Low</t>
        </is>
      </c>
      <c r="K60" s="76" t="inlineStr">
        <is>
          <t>In Progress</t>
        </is>
      </c>
      <c r="L60" s="70" t="n"/>
    </row>
    <row r="61" ht="30" customHeight="1" s="65">
      <c r="A61" s="73" t="n">
        <v>58</v>
      </c>
      <c r="B61" s="74" t="inlineStr">
        <is>
          <t>May</t>
        </is>
      </c>
      <c r="C61" s="74" t="inlineStr">
        <is>
          <t>Nyameka</t>
        </is>
      </c>
      <c r="D61" s="74" t="inlineStr">
        <is>
          <t>HR/Payroll</t>
        </is>
      </c>
      <c r="E61" s="74" t="inlineStr">
        <is>
          <t>76921191</t>
        </is>
      </c>
      <c r="F61" s="74" t="inlineStr">
        <is>
          <t>Shift Roster Leave Miscalculation</t>
        </is>
      </c>
      <c r="G61" s="74" t="inlineStr">
        <is>
          <t>Shift Roster Leave Miscalculating leave days on Sage.</t>
        </is>
      </c>
      <c r="H61" s="74" t="inlineStr">
        <is>
          <t>SANPC</t>
        </is>
      </c>
      <c r="I61" s="74" t="inlineStr">
        <is>
          <t>Admin/Config</t>
        </is>
      </c>
      <c r="J61" s="75" t="inlineStr">
        <is>
          <t>Low</t>
        </is>
      </c>
      <c r="K61" s="76" t="inlineStr">
        <is>
          <t>In Progress</t>
        </is>
      </c>
      <c r="L61" s="74" t="n"/>
    </row>
    <row r="62" ht="30" customHeight="1" s="65">
      <c r="A62" s="69" t="n">
        <v>59</v>
      </c>
      <c r="B62" s="70" t="inlineStr">
        <is>
          <t>May</t>
        </is>
      </c>
      <c r="C62" s="70" t="inlineStr">
        <is>
          <t>Nyameka</t>
        </is>
      </c>
      <c r="D62" s="70" t="inlineStr">
        <is>
          <t>HR/Payroll</t>
        </is>
      </c>
      <c r="E62" s="70" t="inlineStr">
        <is>
          <t>77901568</t>
        </is>
      </c>
      <c r="F62" s="70" t="inlineStr">
        <is>
          <t>COID Earnings Setup</t>
        </is>
      </c>
      <c r="G62" s="70" t="inlineStr">
        <is>
          <t>When processing a COID report for Dept of Labour, the report only processes employees' earnings for three months not the full year.</t>
        </is>
      </c>
      <c r="H62" s="70" t="inlineStr">
        <is>
          <t>SANPC</t>
        </is>
      </c>
      <c r="I62" s="70" t="inlineStr">
        <is>
          <t>Admin/Config</t>
        </is>
      </c>
      <c r="J62" s="75" t="inlineStr">
        <is>
          <t>Low</t>
        </is>
      </c>
      <c r="K62" s="76" t="inlineStr">
        <is>
          <t>In Progress</t>
        </is>
      </c>
      <c r="L62" s="70" t="n"/>
    </row>
    <row r="63" ht="30" customHeight="1" s="65">
      <c r="A63" s="73" t="n">
        <v>60</v>
      </c>
      <c r="B63" s="74" t="inlineStr">
        <is>
          <t>May</t>
        </is>
      </c>
      <c r="C63" s="74" t="inlineStr">
        <is>
          <t>Nyameka</t>
        </is>
      </c>
      <c r="D63" s="74" t="inlineStr">
        <is>
          <t>HR/Payroll</t>
        </is>
      </c>
      <c r="E63" s="74" t="inlineStr">
        <is>
          <t>76920962</t>
        </is>
      </c>
      <c r="F63" s="74" t="inlineStr">
        <is>
          <t>SARS Submission Support</t>
        </is>
      </c>
      <c r="G63" s="74" t="inlineStr">
        <is>
          <t>Assist with SARS Recon.</t>
        </is>
      </c>
      <c r="H63" s="74" t="inlineStr">
        <is>
          <t>SANPC</t>
        </is>
      </c>
      <c r="I63" s="74" t="inlineStr">
        <is>
          <t>User Support</t>
        </is>
      </c>
      <c r="J63" s="75" t="inlineStr">
        <is>
          <t>Low</t>
        </is>
      </c>
      <c r="K63" s="72" t="inlineStr">
        <is>
          <t>Completed</t>
        </is>
      </c>
      <c r="L63" s="74" t="n"/>
    </row>
    <row r="64" ht="30" customHeight="1" s="65">
      <c r="A64" s="69" t="n">
        <v>61</v>
      </c>
      <c r="B64" s="70" t="inlineStr">
        <is>
          <t>May</t>
        </is>
      </c>
      <c r="C64" s="70" t="inlineStr">
        <is>
          <t>Nyameka</t>
        </is>
      </c>
      <c r="D64" s="70" t="inlineStr">
        <is>
          <t>HR/Payroll</t>
        </is>
      </c>
      <c r="E64" s="70" t="inlineStr">
        <is>
          <t>69585655</t>
        </is>
      </c>
      <c r="F64" s="70" t="inlineStr">
        <is>
          <t>Payslips - October 2025 (SARS)</t>
        </is>
      </c>
      <c r="G64" s="70" t="inlineStr">
        <is>
          <t>Incorrect for SFF due to SARS Bi-Annual. SARS Payment is not aligned to Sage for SANPC.</t>
        </is>
      </c>
      <c r="H64" s="70" t="inlineStr">
        <is>
          <t>SANPC</t>
        </is>
      </c>
      <c r="I64" s="70" t="inlineStr">
        <is>
          <t>Admin/Config</t>
        </is>
      </c>
      <c r="J64" s="75" t="inlineStr">
        <is>
          <t>Low</t>
        </is>
      </c>
      <c r="K64" s="72" t="inlineStr">
        <is>
          <t>Completed</t>
        </is>
      </c>
      <c r="L64" s="70" t="n"/>
    </row>
    <row r="65" ht="30" customHeight="1" s="65">
      <c r="A65" s="73" t="n">
        <v>62</v>
      </c>
      <c r="B65" s="74" t="inlineStr">
        <is>
          <t>May</t>
        </is>
      </c>
      <c r="C65" s="74" t="inlineStr">
        <is>
          <t>Nyameka</t>
        </is>
      </c>
      <c r="D65" s="74" t="inlineStr">
        <is>
          <t>HR/Payroll</t>
        </is>
      </c>
      <c r="E65" s="74" t="inlineStr">
        <is>
          <t>69585765</t>
        </is>
      </c>
      <c r="F65" s="74" t="inlineStr">
        <is>
          <t>July Backpay vs Backpay Overtime</t>
        </is>
      </c>
      <c r="G65" s="74" t="inlineStr">
        <is>
          <t>July Backpay Line to be aligned and removed from Overtime in August 2025 payroll.</t>
        </is>
      </c>
      <c r="H65" s="74" t="inlineStr">
        <is>
          <t>SANPC</t>
        </is>
      </c>
      <c r="I65" s="74" t="inlineStr">
        <is>
          <t>Admin/Config</t>
        </is>
      </c>
      <c r="J65" s="75" t="inlineStr">
        <is>
          <t>Low</t>
        </is>
      </c>
      <c r="K65" s="72" t="inlineStr">
        <is>
          <t>Completed</t>
        </is>
      </c>
      <c r="L65" s="74" t="n"/>
    </row>
    <row r="66" ht="30" customHeight="1" s="65">
      <c r="A66" s="69" t="n">
        <v>63</v>
      </c>
      <c r="B66" s="70" t="inlineStr">
        <is>
          <t>May</t>
        </is>
      </c>
      <c r="C66" s="70" t="inlineStr">
        <is>
          <t>Nyameka</t>
        </is>
      </c>
      <c r="D66" s="70" t="inlineStr">
        <is>
          <t>HR/Payroll</t>
        </is>
      </c>
      <c r="E66" s="70" t="inlineStr">
        <is>
          <t>69585703</t>
        </is>
      </c>
      <c r="F66" s="70" t="inlineStr">
        <is>
          <t>EMP 201 Payments Sep to Nov</t>
        </is>
      </c>
      <c r="G66" s="70" t="inlineStr">
        <is>
          <t>Payment does not reconcile due to item on Line 5.</t>
        </is>
      </c>
      <c r="H66" s="70" t="inlineStr">
        <is>
          <t>SANPC</t>
        </is>
      </c>
      <c r="I66" s="70" t="inlineStr">
        <is>
          <t>Admin/Config</t>
        </is>
      </c>
      <c r="J66" s="75" t="inlineStr">
        <is>
          <t>Low</t>
        </is>
      </c>
      <c r="K66" s="72" t="inlineStr">
        <is>
          <t>Completed</t>
        </is>
      </c>
      <c r="L66" s="70" t="n"/>
    </row>
    <row r="67" ht="30" customHeight="1" s="65">
      <c r="A67" s="73" t="n">
        <v>64</v>
      </c>
      <c r="B67" s="74" t="inlineStr">
        <is>
          <t>May</t>
        </is>
      </c>
      <c r="C67" s="74" t="inlineStr">
        <is>
          <t>Nyameka</t>
        </is>
      </c>
      <c r="D67" s="74" t="inlineStr">
        <is>
          <t>IT</t>
        </is>
      </c>
      <c r="E67" s="74" t="inlineStr">
        <is>
          <t>77459225</t>
        </is>
      </c>
      <c r="F67" s="74" t="inlineStr">
        <is>
          <t>IMS Analytical Report Access</t>
        </is>
      </c>
      <c r="G67" s="74" t="inlineStr">
        <is>
          <t>Quality department cannot access the IMS Analytical reports via both LAN and VPN.</t>
        </is>
      </c>
      <c r="H67" s="74" t="inlineStr">
        <is>
          <t>PetroSA</t>
        </is>
      </c>
      <c r="I67" s="74" t="inlineStr">
        <is>
          <t>Incident/Bug Fix</t>
        </is>
      </c>
      <c r="J67" s="75" t="inlineStr">
        <is>
          <t>Low</t>
        </is>
      </c>
      <c r="K67" s="72" t="inlineStr">
        <is>
          <t>Completed</t>
        </is>
      </c>
      <c r="L67" s="74" t="n"/>
    </row>
    <row r="68" ht="30" customHeight="1" s="65">
      <c r="A68" s="69" t="n">
        <v>65</v>
      </c>
      <c r="B68" s="70" t="inlineStr">
        <is>
          <t>May</t>
        </is>
      </c>
      <c r="C68" s="70" t="inlineStr">
        <is>
          <t>Nyameka</t>
        </is>
      </c>
      <c r="D68" s="70" t="inlineStr">
        <is>
          <t>IT</t>
        </is>
      </c>
      <c r="E68" s="70" t="inlineStr">
        <is>
          <t>77226834</t>
        </is>
      </c>
      <c r="F68" s="70" t="inlineStr">
        <is>
          <t>IMS Reports Issue</t>
        </is>
      </c>
      <c r="G68" s="70" t="inlineStr">
        <is>
          <t>IMS tool is not pulling out the analytical reports properly. Incident numbers appearing under title.</t>
        </is>
      </c>
      <c r="H68" s="70" t="inlineStr">
        <is>
          <t>PetroSA</t>
        </is>
      </c>
      <c r="I68" s="70" t="inlineStr">
        <is>
          <t>Incident/Bug Fix</t>
        </is>
      </c>
      <c r="J68" s="75" t="inlineStr">
        <is>
          <t>Low</t>
        </is>
      </c>
      <c r="K68" s="76" t="inlineStr">
        <is>
          <t>In Progress</t>
        </is>
      </c>
      <c r="L68" s="70" t="n"/>
    </row>
    <row r="69" ht="30" customHeight="1" s="65">
      <c r="A69" s="73" t="n">
        <v>66</v>
      </c>
      <c r="B69" s="74" t="inlineStr">
        <is>
          <t>May</t>
        </is>
      </c>
      <c r="C69" s="74" t="inlineStr">
        <is>
          <t>Nyameka</t>
        </is>
      </c>
      <c r="D69" s="74" t="inlineStr">
        <is>
          <t>IT</t>
        </is>
      </c>
      <c r="E69" s="74" t="inlineStr">
        <is>
          <t>76797458</t>
        </is>
      </c>
      <c r="F69" s="74" t="inlineStr">
        <is>
          <t>Cannot Connect to SAP (Wi-Fi)</t>
        </is>
      </c>
      <c r="G69" s="74" t="inlineStr">
        <is>
          <t>User unable to connect to SAP via Wi-Fi intermittently.</t>
        </is>
      </c>
      <c r="H69" s="74" t="inlineStr">
        <is>
          <t>PetroSA</t>
        </is>
      </c>
      <c r="I69" s="74" t="inlineStr">
        <is>
          <t>User Support</t>
        </is>
      </c>
      <c r="J69" s="75" t="inlineStr">
        <is>
          <t>Low</t>
        </is>
      </c>
      <c r="K69" s="72" t="inlineStr">
        <is>
          <t>Completed</t>
        </is>
      </c>
      <c r="L69" s="74" t="n"/>
    </row>
    <row r="70" ht="30" customHeight="1" s="65">
      <c r="A70" s="69" t="n">
        <v>67</v>
      </c>
      <c r="B70" s="70" t="inlineStr">
        <is>
          <t>May</t>
        </is>
      </c>
      <c r="C70" s="70" t="inlineStr">
        <is>
          <t>Nyameka</t>
        </is>
      </c>
      <c r="D70" s="70" t="inlineStr">
        <is>
          <t>IT</t>
        </is>
      </c>
      <c r="E70" s="70" t="inlineStr">
        <is>
          <t>77626961</t>
        </is>
      </c>
      <c r="F70" s="70" t="inlineStr">
        <is>
          <t>Struggle to Access IMS on SAP</t>
        </is>
      </c>
      <c r="G70" s="70" t="inlineStr">
        <is>
          <t>Path to IMS does not open. Stops at launch NWBC.</t>
        </is>
      </c>
      <c r="H70" s="70" t="inlineStr">
        <is>
          <t>PetroSA</t>
        </is>
      </c>
      <c r="I70" s="70" t="inlineStr">
        <is>
          <t>Project</t>
        </is>
      </c>
      <c r="J70" s="71" t="inlineStr">
        <is>
          <t>High</t>
        </is>
      </c>
      <c r="K70" s="76" t="inlineStr">
        <is>
          <t>In Progress</t>
        </is>
      </c>
      <c r="L70" s="70" t="n"/>
    </row>
    <row r="71" ht="30" customHeight="1" s="65">
      <c r="A71" s="73" t="n">
        <v>68</v>
      </c>
      <c r="B71" s="74" t="inlineStr">
        <is>
          <t>May</t>
        </is>
      </c>
      <c r="C71" s="74" t="inlineStr">
        <is>
          <t>Nyameka</t>
        </is>
      </c>
      <c r="D71" s="74" t="inlineStr">
        <is>
          <t>IT</t>
        </is>
      </c>
      <c r="E71" s="74" t="inlineStr">
        <is>
          <t>77561253</t>
        </is>
      </c>
      <c r="F71" s="74" t="inlineStr">
        <is>
          <t>SAP Log In Error</t>
        </is>
      </c>
      <c r="G71" s="74" t="inlineStr">
        <is>
          <t>Cannot log into SAP currently.</t>
        </is>
      </c>
      <c r="H71" s="74" t="inlineStr">
        <is>
          <t>PetroSA</t>
        </is>
      </c>
      <c r="I71" s="74" t="inlineStr">
        <is>
          <t>Incident/Bug Fix</t>
        </is>
      </c>
      <c r="J71" s="71" t="inlineStr">
        <is>
          <t>High</t>
        </is>
      </c>
      <c r="K71" s="76" t="inlineStr">
        <is>
          <t>In Progress</t>
        </is>
      </c>
      <c r="L71" s="74" t="n"/>
    </row>
    <row r="72" ht="30" customHeight="1" s="65">
      <c r="A72" s="69" t="n">
        <v>69</v>
      </c>
      <c r="B72" s="70" t="inlineStr">
        <is>
          <t>May</t>
        </is>
      </c>
      <c r="C72" s="70" t="inlineStr">
        <is>
          <t>Nyameka</t>
        </is>
      </c>
      <c r="D72" s="70" t="inlineStr">
        <is>
          <t>IT</t>
        </is>
      </c>
      <c r="E72" s="70" t="inlineStr">
        <is>
          <t>77464517</t>
        </is>
      </c>
      <c r="F72" s="70" t="inlineStr">
        <is>
          <t>SAP Login Error (Role/Auth)</t>
        </is>
      </c>
      <c r="G72" s="70" t="inlineStr">
        <is>
          <t>Can log into SAP but experiencing errors.</t>
        </is>
      </c>
      <c r="H72" s="70" t="inlineStr">
        <is>
          <t>PetroSA</t>
        </is>
      </c>
      <c r="I72" s="70" t="inlineStr">
        <is>
          <t>Incident/Bug Fix</t>
        </is>
      </c>
      <c r="J72" s="75" t="inlineStr">
        <is>
          <t>Low</t>
        </is>
      </c>
      <c r="K72" s="76" t="inlineStr">
        <is>
          <t>In Progress</t>
        </is>
      </c>
      <c r="L72" s="70" t="n"/>
    </row>
    <row r="73" ht="30" customHeight="1" s="65">
      <c r="A73" s="73" t="n">
        <v>70</v>
      </c>
      <c r="B73" s="74" t="inlineStr">
        <is>
          <t>May</t>
        </is>
      </c>
      <c r="C73" s="74" t="inlineStr">
        <is>
          <t>Nyameka</t>
        </is>
      </c>
      <c r="D73" s="74" t="inlineStr">
        <is>
          <t>SAP HR</t>
        </is>
      </c>
      <c r="E73" s="74" t="n"/>
      <c r="F73" s="74" t="inlineStr">
        <is>
          <t>Termination of SANPC Employees from PetroSA Structure</t>
        </is>
      </c>
      <c r="G73" s="74" t="inlineStr">
        <is>
          <t>Termination of SANPC Employees from PetroSA Structure.</t>
        </is>
      </c>
      <c r="H73" s="74" t="inlineStr">
        <is>
          <t>PetroSA</t>
        </is>
      </c>
      <c r="I73" s="74" t="inlineStr">
        <is>
          <t>Other</t>
        </is>
      </c>
      <c r="J73" s="75" t="inlineStr">
        <is>
          <t>Low</t>
        </is>
      </c>
      <c r="K73" s="76" t="inlineStr">
        <is>
          <t>In Progress</t>
        </is>
      </c>
      <c r="L73" s="74" t="n"/>
    </row>
    <row r="74" ht="30" customHeight="1" s="65">
      <c r="A74" s="69" t="n">
        <v>71</v>
      </c>
      <c r="B74" s="70" t="inlineStr">
        <is>
          <t>May</t>
        </is>
      </c>
      <c r="C74" s="70" t="inlineStr">
        <is>
          <t>Nyameka</t>
        </is>
      </c>
      <c r="D74" s="70" t="inlineStr">
        <is>
          <t>SAP HR</t>
        </is>
      </c>
      <c r="E74" s="70" t="n"/>
      <c r="F74" s="70" t="inlineStr">
        <is>
          <t>PetroSA PayScale Update</t>
        </is>
      </c>
      <c r="G74" s="70" t="inlineStr">
        <is>
          <t>PetroSA PayScale Update.</t>
        </is>
      </c>
      <c r="H74" s="70" t="inlineStr">
        <is>
          <t>PetroSA</t>
        </is>
      </c>
      <c r="I74" s="70" t="inlineStr">
        <is>
          <t>Admin/Config</t>
        </is>
      </c>
      <c r="J74" s="75" t="inlineStr">
        <is>
          <t>Low</t>
        </is>
      </c>
      <c r="K74" s="76" t="inlineStr">
        <is>
          <t>In Progress</t>
        </is>
      </c>
      <c r="L74" s="70" t="n"/>
    </row>
    <row r="75" ht="30" customHeight="1" s="65">
      <c r="A75" s="73" t="n">
        <v>72</v>
      </c>
      <c r="B75" s="74" t="inlineStr">
        <is>
          <t>May</t>
        </is>
      </c>
      <c r="C75" s="74" t="inlineStr">
        <is>
          <t>Nyameka</t>
        </is>
      </c>
      <c r="D75" s="74" t="inlineStr">
        <is>
          <t>SAP HR</t>
        </is>
      </c>
      <c r="E75" s="74" t="n"/>
      <c r="F75" s="74" t="inlineStr">
        <is>
          <t>PetroSA CEPPAWU Premium Update</t>
        </is>
      </c>
      <c r="G75" s="74" t="inlineStr">
        <is>
          <t>PetroSA CEPPAWU Premium Update.</t>
        </is>
      </c>
      <c r="H75" s="74" t="inlineStr">
        <is>
          <t>PetroSA</t>
        </is>
      </c>
      <c r="I75" s="74" t="inlineStr">
        <is>
          <t>Admin/Config</t>
        </is>
      </c>
      <c r="J75" s="75" t="inlineStr">
        <is>
          <t>Low</t>
        </is>
      </c>
      <c r="K75" s="76" t="inlineStr">
        <is>
          <t>In Progress</t>
        </is>
      </c>
      <c r="L75" s="74" t="n"/>
    </row>
    <row r="76" ht="30" customHeight="1" s="65">
      <c r="A76" s="69" t="n">
        <v>73</v>
      </c>
      <c r="B76" s="70" t="inlineStr">
        <is>
          <t>May</t>
        </is>
      </c>
      <c r="C76" s="70" t="inlineStr">
        <is>
          <t>Nyameka</t>
        </is>
      </c>
      <c r="D76" s="70" t="inlineStr">
        <is>
          <t>SAP HR</t>
        </is>
      </c>
      <c r="E76" s="70" t="n"/>
      <c r="F76" s="70" t="inlineStr">
        <is>
          <t>FA Platform Shift Roster</t>
        </is>
      </c>
      <c r="G76" s="70" t="inlineStr">
        <is>
          <t>FA Platform Shift roster configuration.</t>
        </is>
      </c>
      <c r="H76" s="70" t="inlineStr">
        <is>
          <t>PetroSA</t>
        </is>
      </c>
      <c r="I76" s="70" t="inlineStr">
        <is>
          <t>Admin/Config</t>
        </is>
      </c>
      <c r="J76" s="75" t="inlineStr">
        <is>
          <t>Low</t>
        </is>
      </c>
      <c r="K76" s="72" t="inlineStr">
        <is>
          <t>Completed</t>
        </is>
      </c>
      <c r="L76" s="70" t="n"/>
    </row>
    <row r="77" ht="30" customHeight="1" s="65">
      <c r="A77" s="73" t="n">
        <v>74</v>
      </c>
      <c r="B77" s="74" t="inlineStr">
        <is>
          <t>May</t>
        </is>
      </c>
      <c r="C77" s="74" t="inlineStr">
        <is>
          <t>Lindiwe</t>
        </is>
      </c>
      <c r="D77" s="74" t="inlineStr">
        <is>
          <t>IT</t>
        </is>
      </c>
      <c r="E77" s="74" t="inlineStr">
        <is>
          <t>77317642</t>
        </is>
      </c>
      <c r="F77" s="74" t="inlineStr">
        <is>
          <t>Signing Hub</t>
        </is>
      </c>
      <c r="G77" s="74" t="inlineStr">
        <is>
          <t>Signing hub access.</t>
        </is>
      </c>
      <c r="H77" s="74" t="inlineStr">
        <is>
          <t>SANPC</t>
        </is>
      </c>
      <c r="I77" s="74" t="inlineStr">
        <is>
          <t>Incident/Bug Fix</t>
        </is>
      </c>
      <c r="J77" s="75" t="inlineStr">
        <is>
          <t>Low</t>
        </is>
      </c>
      <c r="K77" s="72" t="inlineStr">
        <is>
          <t>Completed</t>
        </is>
      </c>
      <c r="L77" s="74" t="n"/>
    </row>
    <row r="78" ht="30" customHeight="1" s="65">
      <c r="A78" s="69" t="n">
        <v>75</v>
      </c>
      <c r="B78" s="70" t="inlineStr">
        <is>
          <t>May</t>
        </is>
      </c>
      <c r="C78" s="70" t="inlineStr">
        <is>
          <t>Lindiwe</t>
        </is>
      </c>
      <c r="D78" s="70" t="inlineStr">
        <is>
          <t>IT</t>
        </is>
      </c>
      <c r="E78" s="70" t="inlineStr">
        <is>
          <t>76861404</t>
        </is>
      </c>
      <c r="F78" s="70" t="inlineStr">
        <is>
          <t>BPM - Password Resets</t>
        </is>
      </c>
      <c r="G78" s="70" t="inlineStr">
        <is>
          <t>Resetting all BPM/ACCPAC passwords for the users that are using the system.</t>
        </is>
      </c>
      <c r="H78" s="70" t="inlineStr">
        <is>
          <t>SANPC</t>
        </is>
      </c>
      <c r="I78" s="70" t="inlineStr">
        <is>
          <t>User Support</t>
        </is>
      </c>
      <c r="J78" s="75" t="inlineStr">
        <is>
          <t>Low</t>
        </is>
      </c>
      <c r="K78" s="72" t="inlineStr">
        <is>
          <t>Completed</t>
        </is>
      </c>
      <c r="L78" s="70" t="n"/>
    </row>
    <row r="79" ht="30" customHeight="1" s="65">
      <c r="A79" s="73" t="n">
        <v>76</v>
      </c>
      <c r="B79" s="74" t="inlineStr">
        <is>
          <t>May</t>
        </is>
      </c>
      <c r="C79" s="74" t="inlineStr">
        <is>
          <t>Lindiwe</t>
        </is>
      </c>
      <c r="D79" s="74" t="inlineStr">
        <is>
          <t>IT</t>
        </is>
      </c>
      <c r="E79" s="74" t="inlineStr">
        <is>
          <t>Emails</t>
        </is>
      </c>
      <c r="F79" s="74" t="inlineStr">
        <is>
          <t>BPM - Business Connect Loading</t>
        </is>
      </c>
      <c r="G79" s="74" t="inlineStr">
        <is>
          <t>Loading Business connect, MPLS, Network points, Sage Support PO GRV.</t>
        </is>
      </c>
      <c r="H79" s="74" t="inlineStr">
        <is>
          <t>SANPC</t>
        </is>
      </c>
      <c r="I79" s="74" t="inlineStr">
        <is>
          <t>User Support</t>
        </is>
      </c>
      <c r="J79" s="75" t="inlineStr">
        <is>
          <t>Low</t>
        </is>
      </c>
      <c r="K79" s="72" t="inlineStr">
        <is>
          <t>Completed</t>
        </is>
      </c>
      <c r="L79" s="74" t="n"/>
    </row>
    <row r="80" ht="30" customHeight="1" s="65">
      <c r="A80" s="69" t="n">
        <v>77</v>
      </c>
      <c r="B80" s="70" t="inlineStr">
        <is>
          <t>May</t>
        </is>
      </c>
      <c r="C80" s="70" t="inlineStr">
        <is>
          <t>Lindiwe</t>
        </is>
      </c>
      <c r="D80" s="70" t="inlineStr">
        <is>
          <t>Finance</t>
        </is>
      </c>
      <c r="E80" s="70" t="inlineStr">
        <is>
          <t>Emails</t>
        </is>
      </c>
      <c r="F80" s="70" t="inlineStr">
        <is>
          <t>BPM - RCP Investigation</t>
        </is>
      </c>
      <c r="G80" s="70" t="inlineStr">
        <is>
          <t>Check where the RCPs are stuck.</t>
        </is>
      </c>
      <c r="H80" s="70" t="inlineStr">
        <is>
          <t>SANPC/SFF</t>
        </is>
      </c>
      <c r="I80" s="70" t="inlineStr">
        <is>
          <t>Incident/Bug Fix</t>
        </is>
      </c>
      <c r="J80" s="75" t="inlineStr">
        <is>
          <t>Low</t>
        </is>
      </c>
      <c r="K80" s="72" t="inlineStr">
        <is>
          <t>Completed</t>
        </is>
      </c>
      <c r="L80" s="70" t="n"/>
    </row>
    <row r="81" ht="30" customHeight="1" s="65">
      <c r="A81" s="73" t="n">
        <v>78</v>
      </c>
      <c r="B81" s="74" t="inlineStr">
        <is>
          <t>May</t>
        </is>
      </c>
      <c r="C81" s="74" t="inlineStr">
        <is>
          <t>Lindiwe</t>
        </is>
      </c>
      <c r="D81" s="74" t="inlineStr">
        <is>
          <t>IT</t>
        </is>
      </c>
      <c r="E81" s="74" t="inlineStr">
        <is>
          <t>Emails</t>
        </is>
      </c>
      <c r="F81" s="74" t="inlineStr">
        <is>
          <t>BPM - Req Allocation</t>
        </is>
      </c>
      <c r="G81" s="74" t="inlineStr">
        <is>
          <t>Allocating the Reqs to correct approvers.</t>
        </is>
      </c>
      <c r="H81" s="74" t="inlineStr">
        <is>
          <t>SANPC</t>
        </is>
      </c>
      <c r="I81" s="74" t="inlineStr">
        <is>
          <t>User Support</t>
        </is>
      </c>
      <c r="J81" s="75" t="inlineStr">
        <is>
          <t>Low</t>
        </is>
      </c>
      <c r="K81" s="72" t="inlineStr">
        <is>
          <t>Completed</t>
        </is>
      </c>
      <c r="L81" s="74" t="n"/>
    </row>
    <row r="82" ht="30" customHeight="1" s="65">
      <c r="A82" s="69" t="n">
        <v>79</v>
      </c>
      <c r="B82" s="70" t="inlineStr">
        <is>
          <t>May</t>
        </is>
      </c>
      <c r="C82" s="70" t="inlineStr">
        <is>
          <t>Lindiwe</t>
        </is>
      </c>
      <c r="D82" s="70" t="inlineStr">
        <is>
          <t>IT</t>
        </is>
      </c>
      <c r="E82" s="70" t="inlineStr">
        <is>
          <t>Emails</t>
        </is>
      </c>
      <c r="F82" s="70" t="inlineStr">
        <is>
          <t>BPM - Transaction Re-allocation</t>
        </is>
      </c>
      <c r="G82" s="70" t="inlineStr">
        <is>
          <t>Re-allocate transactions to Sechaba for approval.</t>
        </is>
      </c>
      <c r="H82" s="70" t="inlineStr">
        <is>
          <t>SANPC</t>
        </is>
      </c>
      <c r="I82" s="70" t="inlineStr">
        <is>
          <t>User Support</t>
        </is>
      </c>
      <c r="J82" s="75" t="inlineStr">
        <is>
          <t>Low</t>
        </is>
      </c>
      <c r="K82" s="72" t="inlineStr">
        <is>
          <t>Completed</t>
        </is>
      </c>
      <c r="L82" s="70" t="n"/>
    </row>
    <row r="83" ht="30" customHeight="1" s="65">
      <c r="A83" s="73" t="n">
        <v>80</v>
      </c>
      <c r="B83" s="74" t="inlineStr">
        <is>
          <t>May</t>
        </is>
      </c>
      <c r="C83" s="74" t="inlineStr">
        <is>
          <t>Lindiwe</t>
        </is>
      </c>
      <c r="D83" s="74" t="inlineStr">
        <is>
          <t>IT</t>
        </is>
      </c>
      <c r="E83" s="74" t="inlineStr">
        <is>
          <t>Emails</t>
        </is>
      </c>
      <c r="F83" s="74" t="inlineStr">
        <is>
          <t>BPM - Scope of Work Loading</t>
        </is>
      </c>
      <c r="G83" s="74" t="inlineStr">
        <is>
          <t>Loading Scope of work for UPS, VMware licenses and Dell laptop Charges.</t>
        </is>
      </c>
      <c r="H83" s="74" t="inlineStr">
        <is>
          <t>SANPC</t>
        </is>
      </c>
      <c r="I83" s="74" t="inlineStr">
        <is>
          <t>User Support</t>
        </is>
      </c>
      <c r="J83" s="75" t="inlineStr">
        <is>
          <t>Low</t>
        </is>
      </c>
      <c r="K83" s="72" t="inlineStr">
        <is>
          <t>Completed</t>
        </is>
      </c>
      <c r="L83" s="74" t="n"/>
    </row>
    <row r="84" ht="30" customHeight="1" s="65">
      <c r="A84" s="69" t="n">
        <v>81</v>
      </c>
      <c r="B84" s="70" t="inlineStr">
        <is>
          <t>May</t>
        </is>
      </c>
      <c r="C84" s="70" t="inlineStr">
        <is>
          <t>Lindiwe</t>
        </is>
      </c>
      <c r="D84" s="70" t="inlineStr">
        <is>
          <t>IT</t>
        </is>
      </c>
      <c r="E84" s="70" t="inlineStr">
        <is>
          <t>77314897</t>
        </is>
      </c>
      <c r="F84" s="70" t="inlineStr">
        <is>
          <t>QBCON Installation</t>
        </is>
      </c>
      <c r="G84" s="70" t="inlineStr">
        <is>
          <t>Installation of QBCON-Plant Maintenance Icon on laptop.</t>
        </is>
      </c>
      <c r="H84" s="70" t="inlineStr">
        <is>
          <t>SANPC</t>
        </is>
      </c>
      <c r="I84" s="70" t="inlineStr">
        <is>
          <t>User Support</t>
        </is>
      </c>
      <c r="J84" s="75" t="inlineStr">
        <is>
          <t>Low</t>
        </is>
      </c>
      <c r="K84" s="72" t="inlineStr">
        <is>
          <t>Completed</t>
        </is>
      </c>
      <c r="L84" s="70" t="n"/>
    </row>
    <row r="85" ht="30" customHeight="1" s="65">
      <c r="A85" s="73" t="n">
        <v>82</v>
      </c>
      <c r="B85" s="74" t="inlineStr">
        <is>
          <t>May</t>
        </is>
      </c>
      <c r="C85" s="74" t="inlineStr">
        <is>
          <t>Lindiwe</t>
        </is>
      </c>
      <c r="D85" s="74" t="inlineStr">
        <is>
          <t>IT</t>
        </is>
      </c>
      <c r="E85" s="74" t="inlineStr">
        <is>
          <t>Emails</t>
        </is>
      </c>
      <c r="F85" s="74" t="inlineStr">
        <is>
          <t>BPM - Discard Reqs/POs</t>
        </is>
      </c>
      <c r="G85" s="74" t="inlineStr">
        <is>
          <t>Discarding all the Reqs Or POs as per the user's Request.</t>
        </is>
      </c>
      <c r="H85" s="74" t="inlineStr">
        <is>
          <t>SANPC</t>
        </is>
      </c>
      <c r="I85" s="74" t="inlineStr">
        <is>
          <t>User Support</t>
        </is>
      </c>
      <c r="J85" s="75" t="inlineStr">
        <is>
          <t>Low</t>
        </is>
      </c>
      <c r="K85" s="72" t="inlineStr">
        <is>
          <t>Completed</t>
        </is>
      </c>
      <c r="L85" s="74" t="n"/>
    </row>
    <row r="86" ht="30" customHeight="1" s="65">
      <c r="A86" s="69" t="n">
        <v>83</v>
      </c>
      <c r="B86" s="70" t="inlineStr">
        <is>
          <t>May</t>
        </is>
      </c>
      <c r="C86" s="70" t="inlineStr">
        <is>
          <t>Lindiwe</t>
        </is>
      </c>
      <c r="D86" s="70" t="inlineStr">
        <is>
          <t>IT</t>
        </is>
      </c>
      <c r="E86" s="70" t="inlineStr">
        <is>
          <t>Emails</t>
        </is>
      </c>
      <c r="F86" s="70" t="inlineStr">
        <is>
          <t>BPM - Grant Access</t>
        </is>
      </c>
      <c r="G86" s="70" t="inlineStr">
        <is>
          <t>Granting Access to BPM for Wayne, Comfort Bunting and Azarias.</t>
        </is>
      </c>
      <c r="H86" s="70" t="inlineStr">
        <is>
          <t>SANPC</t>
        </is>
      </c>
      <c r="I86" s="70" t="inlineStr">
        <is>
          <t>Incident/Bug Fix</t>
        </is>
      </c>
      <c r="J86" s="75" t="inlineStr">
        <is>
          <t>Low</t>
        </is>
      </c>
      <c r="K86" s="72" t="inlineStr">
        <is>
          <t>Completed</t>
        </is>
      </c>
      <c r="L86" s="70" t="n"/>
    </row>
    <row r="87" ht="30" customHeight="1" s="65">
      <c r="A87" s="73" t="n">
        <v>84</v>
      </c>
      <c r="B87" s="74" t="inlineStr">
        <is>
          <t>May</t>
        </is>
      </c>
      <c r="C87" s="74" t="inlineStr">
        <is>
          <t>Lindiwe</t>
        </is>
      </c>
      <c r="D87" s="74" t="inlineStr">
        <is>
          <t>IT</t>
        </is>
      </c>
      <c r="E87" s="74" t="inlineStr">
        <is>
          <t>Emails</t>
        </is>
      </c>
      <c r="F87" s="74" t="inlineStr">
        <is>
          <t>Signing Hub - Grant Access</t>
        </is>
      </c>
      <c r="G87" s="74" t="inlineStr">
        <is>
          <t>Granting Access to Signing hub for Wayne, Comfort Bunting and Azarias.</t>
        </is>
      </c>
      <c r="H87" s="74" t="inlineStr">
        <is>
          <t>SANPC</t>
        </is>
      </c>
      <c r="I87" s="74" t="inlineStr">
        <is>
          <t>Incident/Bug Fix</t>
        </is>
      </c>
      <c r="J87" s="75" t="inlineStr">
        <is>
          <t>Low</t>
        </is>
      </c>
      <c r="K87" s="72" t="inlineStr">
        <is>
          <t>Completed</t>
        </is>
      </c>
      <c r="L87" s="74" t="n"/>
    </row>
    <row r="88" ht="15.75" customHeight="1" s="65">
      <c r="A88" s="77">
        <f>IF(C88&lt;&gt;"",COUNTA($C$4:C88),"")</f>
        <v/>
      </c>
      <c r="B88" s="78" t="n"/>
      <c r="C88" s="78" t="n"/>
      <c r="D88" s="79" t="n"/>
      <c r="E88" s="79" t="n"/>
      <c r="F88" s="78" t="n"/>
      <c r="G88" s="79" t="n"/>
      <c r="H88" s="79" t="n"/>
      <c r="I88" s="79" t="n"/>
      <c r="J88" s="79" t="n"/>
      <c r="K88" s="78" t="n"/>
      <c r="L88" s="79" t="n"/>
    </row>
    <row r="89" ht="15.75" customHeight="1" s="65">
      <c r="A89" s="80">
        <f>IF(C89&lt;&gt;"",COUNTA($C$4:C89),"")</f>
        <v/>
      </c>
      <c r="B89" s="78" t="n"/>
      <c r="C89" s="78" t="n"/>
      <c r="D89" s="81" t="n"/>
      <c r="E89" s="81" t="n"/>
      <c r="F89" s="78" t="n"/>
      <c r="G89" s="81" t="n"/>
      <c r="H89" s="81" t="n"/>
      <c r="I89" s="81" t="n"/>
      <c r="J89" s="81" t="n"/>
      <c r="K89" s="78" t="n"/>
      <c r="L89" s="81" t="n"/>
    </row>
    <row r="90" ht="15.75" customHeight="1" s="65">
      <c r="A90" s="77">
        <f>IF(C90&lt;&gt;"",COUNTA($C$4:C90),"")</f>
        <v/>
      </c>
      <c r="B90" s="78" t="n"/>
      <c r="C90" s="78" t="n"/>
      <c r="D90" s="79" t="n"/>
      <c r="E90" s="79" t="n"/>
      <c r="F90" s="78" t="n"/>
      <c r="G90" s="79" t="n"/>
      <c r="H90" s="79" t="n"/>
      <c r="I90" s="79" t="n"/>
      <c r="J90" s="79" t="n"/>
      <c r="K90" s="78" t="n"/>
      <c r="L90" s="79" t="n"/>
    </row>
    <row r="91" ht="15.75" customHeight="1" s="65">
      <c r="A91" s="80">
        <f>IF(C91&lt;&gt;"",COUNTA($C$4:C91),"")</f>
        <v/>
      </c>
      <c r="B91" s="78" t="n"/>
      <c r="C91" s="78" t="n"/>
      <c r="D91" s="81" t="n"/>
      <c r="E91" s="81" t="n"/>
      <c r="F91" s="78" t="n"/>
      <c r="G91" s="81" t="n"/>
      <c r="H91" s="81" t="n"/>
      <c r="I91" s="81" t="n"/>
      <c r="J91" s="81" t="n"/>
      <c r="K91" s="78" t="n"/>
      <c r="L91" s="81" t="n"/>
    </row>
    <row r="92" ht="15.75" customHeight="1" s="65">
      <c r="A92" s="77">
        <f>IF(C92&lt;&gt;"",COUNTA($C$4:C92),"")</f>
        <v/>
      </c>
      <c r="B92" s="78" t="n"/>
      <c r="C92" s="78" t="n"/>
      <c r="D92" s="79" t="n"/>
      <c r="E92" s="79" t="n"/>
      <c r="F92" s="78" t="n"/>
      <c r="G92" s="79" t="n"/>
      <c r="H92" s="79" t="n"/>
      <c r="I92" s="79" t="n"/>
      <c r="J92" s="79" t="n"/>
      <c r="K92" s="78" t="n"/>
      <c r="L92" s="79" t="n"/>
    </row>
    <row r="93" ht="15.75" customHeight="1" s="65">
      <c r="A93" s="80">
        <f>IF(C93&lt;&gt;"",COUNTA($C$4:C93),"")</f>
        <v/>
      </c>
      <c r="B93" s="78" t="n"/>
      <c r="C93" s="78" t="n"/>
      <c r="D93" s="81" t="n"/>
      <c r="E93" s="81" t="n"/>
      <c r="F93" s="78" t="n"/>
      <c r="G93" s="81" t="n"/>
      <c r="H93" s="81" t="n"/>
      <c r="I93" s="81" t="n"/>
      <c r="J93" s="81" t="n"/>
      <c r="K93" s="78" t="n"/>
      <c r="L93" s="81" t="n"/>
    </row>
    <row r="94" ht="15.75" customHeight="1" s="65">
      <c r="A94" s="77">
        <f>IF(C94&lt;&gt;"",COUNTA($C$4:C94),"")</f>
        <v/>
      </c>
      <c r="B94" s="78" t="n"/>
      <c r="C94" s="78" t="n"/>
      <c r="D94" s="79" t="n"/>
      <c r="E94" s="79" t="n"/>
      <c r="F94" s="78" t="n"/>
      <c r="G94" s="79" t="n"/>
      <c r="H94" s="79" t="n"/>
      <c r="I94" s="79" t="n"/>
      <c r="J94" s="79" t="n"/>
      <c r="K94" s="78" t="n"/>
      <c r="L94" s="79" t="n"/>
    </row>
    <row r="95" ht="15.75" customHeight="1" s="65">
      <c r="A95" s="80">
        <f>IF(C95&lt;&gt;"",COUNTA($C$4:C95),"")</f>
        <v/>
      </c>
      <c r="B95" s="78" t="n"/>
      <c r="C95" s="78" t="n"/>
      <c r="D95" s="81" t="n"/>
      <c r="E95" s="81" t="n"/>
      <c r="F95" s="78" t="n"/>
      <c r="G95" s="81" t="n"/>
      <c r="H95" s="81" t="n"/>
      <c r="I95" s="81" t="n"/>
      <c r="J95" s="81" t="n"/>
      <c r="K95" s="78" t="n"/>
      <c r="L95" s="81" t="n"/>
    </row>
    <row r="96" ht="15.75" customHeight="1" s="65">
      <c r="A96" s="77">
        <f>IF(C96&lt;&gt;"",COUNTA($C$4:C96),"")</f>
        <v/>
      </c>
      <c r="B96" s="78" t="n"/>
      <c r="C96" s="78" t="n"/>
      <c r="D96" s="79" t="n"/>
      <c r="E96" s="79" t="n"/>
      <c r="F96" s="78" t="n"/>
      <c r="G96" s="79" t="n"/>
      <c r="H96" s="79" t="n"/>
      <c r="I96" s="79" t="n"/>
      <c r="J96" s="79" t="n"/>
      <c r="K96" s="78" t="n"/>
      <c r="L96" s="79" t="n"/>
    </row>
    <row r="97" ht="15.75" customHeight="1" s="65">
      <c r="A97" s="80">
        <f>IF(C97&lt;&gt;"",COUNTA($C$4:C97),"")</f>
        <v/>
      </c>
      <c r="B97" s="78" t="n"/>
      <c r="C97" s="78" t="n"/>
      <c r="D97" s="81" t="n"/>
      <c r="E97" s="81" t="n"/>
      <c r="F97" s="78" t="n"/>
      <c r="G97" s="81" t="n"/>
      <c r="H97" s="81" t="n"/>
      <c r="I97" s="81" t="n"/>
      <c r="J97" s="81" t="n"/>
      <c r="K97" s="78" t="n"/>
      <c r="L97" s="81" t="n"/>
    </row>
    <row r="98" ht="15.75" customHeight="1" s="65">
      <c r="A98" s="77">
        <f>IF(C98&lt;&gt;"",COUNTA($C$4:C98),"")</f>
        <v/>
      </c>
      <c r="B98" s="78" t="n"/>
      <c r="C98" s="78" t="n"/>
      <c r="D98" s="79" t="n"/>
      <c r="E98" s="79" t="n"/>
      <c r="F98" s="78" t="n"/>
      <c r="G98" s="79" t="n"/>
      <c r="H98" s="79" t="n"/>
      <c r="I98" s="79" t="n"/>
      <c r="J98" s="79" t="n"/>
      <c r="K98" s="78" t="n"/>
      <c r="L98" s="79" t="n"/>
    </row>
    <row r="99" ht="15.75" customHeight="1" s="65">
      <c r="A99" s="80">
        <f>IF(C99&lt;&gt;"",COUNTA($C$4:C99),"")</f>
        <v/>
      </c>
      <c r="B99" s="78" t="n"/>
      <c r="C99" s="78" t="n"/>
      <c r="D99" s="81" t="n"/>
      <c r="E99" s="81" t="n"/>
      <c r="F99" s="78" t="n"/>
      <c r="G99" s="81" t="n"/>
      <c r="H99" s="81" t="n"/>
      <c r="I99" s="81" t="n"/>
      <c r="J99" s="81" t="n"/>
      <c r="K99" s="78" t="n"/>
      <c r="L99" s="81" t="n"/>
    </row>
    <row r="100" ht="15.75" customHeight="1" s="65">
      <c r="A100" s="77">
        <f>IF(C100&lt;&gt;"",COUNTA($C$4:C100),"")</f>
        <v/>
      </c>
      <c r="B100" s="78" t="n"/>
      <c r="C100" s="78" t="n"/>
      <c r="D100" s="79" t="n"/>
      <c r="E100" s="79" t="n"/>
      <c r="F100" s="78" t="n"/>
      <c r="G100" s="79" t="n"/>
      <c r="H100" s="79" t="n"/>
      <c r="I100" s="79" t="n"/>
      <c r="J100" s="79" t="n"/>
      <c r="K100" s="78" t="n"/>
      <c r="L100" s="79" t="n"/>
    </row>
    <row r="101" ht="15.75" customHeight="1" s="65">
      <c r="A101" s="80">
        <f>IF(C101&lt;&gt;"",COUNTA($C$4:C101),"")</f>
        <v/>
      </c>
      <c r="B101" s="78" t="n"/>
      <c r="C101" s="78" t="n"/>
      <c r="D101" s="81" t="n"/>
      <c r="E101" s="81" t="n"/>
      <c r="F101" s="78" t="n"/>
      <c r="G101" s="81" t="n"/>
      <c r="H101" s="81" t="n"/>
      <c r="I101" s="81" t="n"/>
      <c r="J101" s="81" t="n"/>
      <c r="K101" s="78" t="n"/>
      <c r="L101" s="81" t="n"/>
    </row>
    <row r="102" ht="15.75" customHeight="1" s="65">
      <c r="A102" s="77">
        <f>IF(C102&lt;&gt;"",COUNTA($C$4:C102),"")</f>
        <v/>
      </c>
      <c r="B102" s="78" t="n"/>
      <c r="C102" s="78" t="n"/>
      <c r="D102" s="79" t="n"/>
      <c r="E102" s="79" t="n"/>
      <c r="F102" s="78" t="n"/>
      <c r="G102" s="79" t="n"/>
      <c r="H102" s="79" t="n"/>
      <c r="I102" s="79" t="n"/>
      <c r="J102" s="79" t="n"/>
      <c r="K102" s="78" t="n"/>
      <c r="L102" s="79" t="n"/>
    </row>
    <row r="103" ht="15.75" customHeight="1" s="65">
      <c r="A103" s="80">
        <f>IF(C103&lt;&gt;"",COUNTA($C$4:C103),"")</f>
        <v/>
      </c>
      <c r="B103" s="78" t="n"/>
      <c r="C103" s="78" t="n"/>
      <c r="D103" s="81" t="n"/>
      <c r="E103" s="81" t="n"/>
      <c r="F103" s="78" t="n"/>
      <c r="G103" s="81" t="n"/>
      <c r="H103" s="81" t="n"/>
      <c r="I103" s="81" t="n"/>
      <c r="J103" s="81" t="n"/>
      <c r="K103" s="78" t="n"/>
      <c r="L103" s="81" t="n"/>
    </row>
  </sheetData>
  <autoFilter ref="A3:L3"/>
  <mergeCells count="2">
    <mergeCell ref="A2:L2"/>
    <mergeCell ref="A1:L1"/>
  </mergeCells>
  <conditionalFormatting sqref="K4:K103">
    <cfRule type="cellIs" rank="0" priority="2" equalAverage="0" operator="equal" aboveAverage="0" dxfId="0" text="" percent="0" bottom="0">
      <formula>"Completed"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"Pending"</formula>
    </cfRule>
  </conditionalFormatting>
  <conditionalFormatting sqref="J4:J103">
    <cfRule type="cellIs" rank="0" priority="5" equalAverage="0" operator="equal" aboveAverage="0" dxfId="2" text="" percent="0" bottom="0">
      <formula>"High"</formula>
    </cfRule>
    <cfRule type="cellIs" rank="0" priority="6" equalAverage="0" operator="equal" aboveAverage="0" dxfId="1" text="" percent="0" bottom="0">
      <formula>"Medium"</formula>
    </cfRule>
    <cfRule type="cellIs" rank="0" priority="7" equalAverage="0" operator="equal" aboveAverage="0" dxfId="3" text="" percent="0" bottom="0">
      <formula>"Low"</formula>
    </cfRule>
  </conditionalFormatting>
  <dataValidations count="7">
    <dataValidation sqref="C4:C103" showDropDown="0" showInputMessage="0" showErrorMessage="1" allowBlank="1" type="list" errorStyle="stop" operator="between">
      <formula1>"Shennaz,Nyameka,Lindiwe,T A Willems,Mphatheleni Matidze"</formula1>
      <formula2>0</formula2>
    </dataValidation>
    <dataValidation sqref="D4:D103" showDropDown="0" showInputMessage="0" showErrorMessage="0" allowBlank="1" type="list" errorStyle="stop" operator="between">
      <formula1>"SAP SD,SAP MM,SAP FI,SAP FI/CO,SAP PS,SAP TRM,SAP HR,SAP Travel,IT,Business Application,Procurement,Finance,HR/Payroll,Other"</formula1>
      <formula2>0</formula2>
    </dataValidation>
    <dataValidation sqref="H4:H103" showDropDown="0" showInputMessage="0" showErrorMessage="0" allowBlank="1" type="list" errorStyle="stop" operator="between">
      <formula1>"SANPC,PetroSA,PetroSA Ghana,Legacy/CEF,SANPC/SFF,PetroSA/SANPC,Other"</formula1>
      <formula2>0</formula2>
    </dataValidation>
    <dataValidation sqref="I4:I103" showDropDown="0" showInputMessage="0" showErrorMessage="0" allowBlank="1" type="list" errorStyle="stop" operator="between">
      <formula1>"Project,Incident/Bug Fix,Change Request,User Support,Admin/Config,Reporting,Mentoring,Other"</formula1>
      <formula2>0</formula2>
    </dataValidation>
    <dataValidation sqref="J4:J103" showDropDown="0" showInputMessage="0" showErrorMessage="0" allowBlank="1" type="list" errorStyle="stop" operator="between">
      <formula1>"High,Medium,Low"</formula1>
      <formula2>0</formula2>
    </dataValidation>
    <dataValidation sqref="K4:K103" showDropDown="0" showInputMessage="0" showErrorMessage="0" allowBlank="1" type="list" errorStyle="stop" operator="between">
      <formula1>"Completed,In Progress,Pending"</formula1>
      <formula2>0</formula2>
    </dataValidation>
    <dataValidation sqref="B4:B103" showDropDown="0" showInputMessage="0" showErrorMessage="0" allowBlank="1" type="list" errorStyle="stop" operator="between">
      <formula1>"January,February,March,April,May,June,July,August,September,October,November,December"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4" min="1" max="1"/>
    <col width="10" customWidth="1" style="64" min="2" max="2"/>
    <col width="12" customWidth="1" style="64" min="3" max="3"/>
    <col width="13" customWidth="1" style="64" min="4" max="4"/>
    <col width="10" customWidth="1" style="64" min="5" max="7"/>
    <col width="20" customWidth="1" style="64" min="8" max="8"/>
    <col width="10" customWidth="1" style="64" min="9" max="9"/>
    <col width="12" customWidth="1" style="64" min="10" max="10"/>
    <col width="10" customWidth="1" style="64" min="11" max="12"/>
  </cols>
  <sheetData>
    <row r="1" ht="31.5" customHeight="1" s="65">
      <c r="A1" s="66" t="inlineStr">
        <is>
          <t>BA Team – Monthly Summary Dashboard</t>
        </is>
      </c>
    </row>
    <row r="2" ht="15.75" customHeight="1" s="65">
      <c r="A2" s="67" t="inlineStr">
        <is>
          <t>📊  All figures update automatically when the Monthly Activity Log is populated. Use the Month filter in B4 to view a specific month.</t>
        </is>
      </c>
    </row>
    <row r="4" ht="21.75" customHeight="1" s="65">
      <c r="A4" s="82" t="inlineStr">
        <is>
          <t>Filter: Month</t>
        </is>
      </c>
      <c r="B4" s="83" t="inlineStr">
        <is>
          <t>All</t>
        </is>
      </c>
    </row>
    <row r="6" ht="19.5" customHeight="1" s="65">
      <c r="A6" s="84" t="inlineStr">
        <is>
          <t>Total Activities</t>
        </is>
      </c>
      <c r="B6" s="85" t="n"/>
      <c r="C6" s="84" t="inlineStr">
        <is>
          <t>Completed</t>
        </is>
      </c>
      <c r="D6" s="85" t="n"/>
      <c r="E6" s="84" t="inlineStr">
        <is>
          <t>In Progress</t>
        </is>
      </c>
      <c r="F6" s="85" t="n"/>
      <c r="G6" s="84" t="inlineStr">
        <is>
          <t>Pending</t>
        </is>
      </c>
      <c r="H6" s="85" t="n"/>
      <c r="I6" s="84" t="inlineStr">
        <is>
          <t>% Completed</t>
        </is>
      </c>
      <c r="J6" s="85" t="n"/>
      <c r="K6" s="84" t="inlineStr">
        <is>
          <t>Active Members</t>
        </is>
      </c>
      <c r="L6" s="85" t="n"/>
    </row>
    <row r="7" ht="36" customHeight="1" s="65">
      <c r="A7" s="86">
        <f>IF($B$4="All",COUNTIF('Monthly Activity Log'!C$4:C$200,"&lt;&gt;"),COUNTIFS('Monthly Activity Log'!B$4:B$200,$B$4,'Monthly Activity Log'!C$4:C$200,"&lt;&gt;"))</f>
        <v/>
      </c>
      <c r="B7" s="85" t="n"/>
      <c r="C7" s="87">
        <f>IF($B$4="All",COUNTIF('Monthly Activity Log'!K$4:K$200,"Completed"),COUNTIFS('Monthly Activity Log'!B$4:B$200,$B$4,'Monthly Activity Log'!K$4:K$200,"Completed"))</f>
        <v/>
      </c>
      <c r="D7" s="85" t="n"/>
      <c r="E7" s="88">
        <f>IF($B$4="All",COUNTIF('Monthly Activity Log'!K$4:K$200,"In Progress"),COUNTIFS('Monthly Activity Log'!B$4:B$200,$B$4,'Monthly Activity Log'!K$4:K$200,"In Progress"))</f>
        <v/>
      </c>
      <c r="F7" s="85" t="n"/>
      <c r="G7" s="89">
        <f>IF($B$4="All",COUNTIF('Monthly Activity Log'!K$4:K$200,"Pending"),COUNTIFS('Monthly Activity Log'!B$4:B$200,$B$4,'Monthly Activity Log'!K$4:K$200,"Pending"))</f>
        <v/>
      </c>
      <c r="H7" s="85" t="n"/>
      <c r="I7" s="90">
        <f>IFERROR(C7/A7,0)</f>
        <v/>
      </c>
      <c r="J7" s="85" t="n"/>
      <c r="K7" s="91">
        <f>IF(IF($B$4="All",COUNTIF('Monthly Activity Log'!C$4:C$200,"Shennaz"),COUNTIFS('Monthly Activity Log'!B$4:B$200,$B$4,'Monthly Activity Log'!C$4:C$200,"Shennaz"))&gt;0,1,0)+IF(IF($B$4="All",COUNTIF('Monthly Activity Log'!C$4:C$200,"Nyameka"),COUNTIFS('Monthly Activity Log'!B$4:B$200,$B$4,'Monthly Activity Log'!C$4:C$200,"Nyameka"))&gt;0,1,0)+IF(IF($B$4="All",COUNTIF('Monthly Activity Log'!C$4:C$200,"Lindiwe"),COUNTIFS('Monthly Activity Log'!B$4:B$200,$B$4,'Monthly Activity Log'!C$4:C$200,"Lindiwe"))&gt;0,1,0)+IF(IF($B$4="All",COUNTIF('Monthly Activity Log'!C$4:C$200,"T A Willems"),COUNTIFS('Monthly Activity Log'!B$4:B$200,$B$4,'Monthly Activity Log'!C$4:C$200,"T A Willems"))&gt;0,1,0)+IF(IF($B$4="All",COUNTIF('Monthly Activity Log'!C$4:C$200,"Mphatheleni Matidze"),COUNTIFS('Monthly Activity Log'!B$4:B$200,$B$4,'Monthly Activity Log'!C$4:C$200,"Mphatheleni Matidze"))&gt;0,1,0)</f>
        <v/>
      </c>
      <c r="L7" s="85" t="n"/>
    </row>
    <row r="8" ht="6" customHeight="1" s="65"/>
    <row r="10" ht="18" customHeight="1" s="65">
      <c r="A10" s="92" t="inlineStr">
        <is>
          <t>ACTIVITIES PER TEAM MEMBER</t>
        </is>
      </c>
      <c r="B10" s="93" t="n"/>
      <c r="C10" s="93" t="n"/>
      <c r="D10" s="93" t="n"/>
      <c r="E10" s="93" t="n"/>
      <c r="F10" s="85" t="n"/>
    </row>
    <row r="11" ht="21.75" customHeight="1" s="65">
      <c r="A11" s="94" t="inlineStr">
        <is>
          <t>Team Member</t>
        </is>
      </c>
      <c r="B11" s="94" t="inlineStr">
        <is>
          <t>Total</t>
        </is>
      </c>
      <c r="C11" s="94" t="inlineStr">
        <is>
          <t>Completed</t>
        </is>
      </c>
      <c r="D11" s="94" t="inlineStr">
        <is>
          <t>In Progress</t>
        </is>
      </c>
      <c r="E11" s="94" t="inlineStr">
        <is>
          <t>Pending</t>
        </is>
      </c>
      <c r="F11" s="94" t="inlineStr">
        <is>
          <t>% Done</t>
        </is>
      </c>
    </row>
    <row r="12" ht="18" customHeight="1" s="65">
      <c r="A12" s="95" t="inlineStr">
        <is>
          <t>Shennaz</t>
        </is>
      </c>
      <c r="B12" s="96">
        <f>IF($B$4="All",COUNTIF('Monthly Activity Log'!C$4:C$200,"Shennaz"),COUNTIFS('Monthly Activity Log'!B$4:B$200,$B$4,'Monthly Activity Log'!C$4:C$200,"Shennaz"))</f>
        <v/>
      </c>
      <c r="C12" s="96">
        <f>IF($B$4="All",COUNTIFS('Monthly Activity Log'!C$4:C$200,"Shennaz",'Monthly Activity Log'!K$4:K$200,"Completed"),COUNTIFS('Monthly Activity Log'!B$4:B$200,$B$4,'Monthly Activity Log'!C$4:C$200,"Shennaz",'Monthly Activity Log'!K$4:K$200,"Completed"))</f>
        <v/>
      </c>
      <c r="D12" s="96">
        <f>IF($B$4="All",COUNTIFS('Monthly Activity Log'!C$4:C$200,"Shennaz",'Monthly Activity Log'!K$4:K$200,"In Progress"),COUNTIFS('Monthly Activity Log'!B$4:B$200,$B$4,'Monthly Activity Log'!C$4:C$200,"Shennaz",'Monthly Activity Log'!K$4:K$200,"In Progress"))</f>
        <v/>
      </c>
      <c r="E12" s="96">
        <f>IF($B$4="All",COUNTIFS('Monthly Activity Log'!C$4:C$200,"Shennaz",'Monthly Activity Log'!K$4:K$200,"Pending"),COUNTIFS('Monthly Activity Log'!B$4:B$200,$B$4,'Monthly Activity Log'!C$4:C$200,"Shennaz",'Monthly Activity Log'!K$4:K$200,"Pending"))</f>
        <v/>
      </c>
      <c r="F12" s="97">
        <f>IFERROR(C12/B12,0)</f>
        <v/>
      </c>
    </row>
    <row r="13" ht="18" customHeight="1" s="65">
      <c r="A13" s="98" t="inlineStr">
        <is>
          <t>Nyameka</t>
        </is>
      </c>
      <c r="B13" s="99">
        <f>IF($B$4="All",COUNTIF('Monthly Activity Log'!C$4:C$200,"Nyameka"),COUNTIFS('Monthly Activity Log'!B$4:B$200,$B$4,'Monthly Activity Log'!C$4:C$200,"Nyameka"))</f>
        <v/>
      </c>
      <c r="C13" s="99">
        <f>IF($B$4="All",COUNTIFS('Monthly Activity Log'!C$4:C$200,"Nyameka",'Monthly Activity Log'!K$4:K$200,"Completed"),COUNTIFS('Monthly Activity Log'!B$4:B$200,$B$4,'Monthly Activity Log'!C$4:C$200,"Nyameka",'Monthly Activity Log'!K$4:K$200,"Completed"))</f>
        <v/>
      </c>
      <c r="D13" s="99">
        <f>IF($B$4="All",COUNTIFS('Monthly Activity Log'!C$4:C$200,"Nyameka",'Monthly Activity Log'!K$4:K$200,"In Progress"),COUNTIFS('Monthly Activity Log'!B$4:B$200,$B$4,'Monthly Activity Log'!C$4:C$200,"Nyameka",'Monthly Activity Log'!K$4:K$200,"In Progress"))</f>
        <v/>
      </c>
      <c r="E13" s="99">
        <f>IF($B$4="All",COUNTIFS('Monthly Activity Log'!C$4:C$200,"Nyameka",'Monthly Activity Log'!K$4:K$200,"Pending"),COUNTIFS('Monthly Activity Log'!B$4:B$200,$B$4,'Monthly Activity Log'!C$4:C$200,"Nyameka",'Monthly Activity Log'!K$4:K$200,"Pending"))</f>
        <v/>
      </c>
      <c r="F13" s="100">
        <f>IFERROR(C13/B13,0)</f>
        <v/>
      </c>
    </row>
    <row r="14" ht="18" customHeight="1" s="65">
      <c r="A14" s="95" t="inlineStr">
        <is>
          <t>Lindiwe</t>
        </is>
      </c>
      <c r="B14" s="96">
        <f>IF($B$4="All",COUNTIF('Monthly Activity Log'!C$4:C$200,"Lindiwe"),COUNTIFS('Monthly Activity Log'!B$4:B$200,$B$4,'Monthly Activity Log'!C$4:C$200,"Lindiwe"))</f>
        <v/>
      </c>
      <c r="C14" s="96">
        <f>IF($B$4="All",COUNTIFS('Monthly Activity Log'!C$4:C$200,"Lindiwe",'Monthly Activity Log'!K$4:K$200,"Completed"),COUNTIFS('Monthly Activity Log'!B$4:B$200,$B$4,'Monthly Activity Log'!C$4:C$200,"Lindiwe",'Monthly Activity Log'!K$4:K$200,"Completed"))</f>
        <v/>
      </c>
      <c r="D14" s="96">
        <f>IF($B$4="All",COUNTIFS('Monthly Activity Log'!C$4:C$200,"Lindiwe",'Monthly Activity Log'!K$4:K$200,"In Progress"),COUNTIFS('Monthly Activity Log'!B$4:B$200,$B$4,'Monthly Activity Log'!C$4:C$200,"Lindiwe",'Monthly Activity Log'!K$4:K$200,"In Progress"))</f>
        <v/>
      </c>
      <c r="E14" s="96">
        <f>IF($B$4="All",COUNTIFS('Monthly Activity Log'!C$4:C$200,"Lindiwe",'Monthly Activity Log'!K$4:K$200,"Pending"),COUNTIFS('Monthly Activity Log'!B$4:B$200,$B$4,'Monthly Activity Log'!C$4:C$200,"Lindiwe",'Monthly Activity Log'!K$4:K$200,"Pending"))</f>
        <v/>
      </c>
      <c r="F14" s="97">
        <f>IFERROR(C14/B14,0)</f>
        <v/>
      </c>
    </row>
    <row r="15" ht="18" customHeight="1" s="65">
      <c r="A15" s="98" t="inlineStr">
        <is>
          <t>T A Willems</t>
        </is>
      </c>
      <c r="B15" s="99">
        <f>IF($B$4="All",COUNTIF('Monthly Activity Log'!C$4:C$200,"T A Willems"),COUNTIFS('Monthly Activity Log'!B$4:B$200,$B$4,'Monthly Activity Log'!C$4:C$200,"T A Willems"))</f>
        <v/>
      </c>
      <c r="C15" s="99">
        <f>IF($B$4="All",COUNTIFS('Monthly Activity Log'!C$4:C$200,"T A Willems",'Monthly Activity Log'!K$4:K$200,"Completed"),COUNTIFS('Monthly Activity Log'!B$4:B$200,$B$4,'Monthly Activity Log'!C$4:C$200,"T A Willems",'Monthly Activity Log'!K$4:K$200,"Completed"))</f>
        <v/>
      </c>
      <c r="D15" s="99">
        <f>IF($B$4="All",COUNTIFS('Monthly Activity Log'!C$4:C$200,"T A Willems",'Monthly Activity Log'!K$4:K$200,"In Progress"),COUNTIFS('Monthly Activity Log'!B$4:B$200,$B$4,'Monthly Activity Log'!C$4:C$200,"T A Willems",'Monthly Activity Log'!K$4:K$200,"In Progress"))</f>
        <v/>
      </c>
      <c r="E15" s="99">
        <f>IF($B$4="All",COUNTIFS('Monthly Activity Log'!C$4:C$200,"T A Willems",'Monthly Activity Log'!K$4:K$200,"Pending"),COUNTIFS('Monthly Activity Log'!B$4:B$200,$B$4,'Monthly Activity Log'!C$4:C$200,"T A Willems",'Monthly Activity Log'!K$4:K$200,"Pending"))</f>
        <v/>
      </c>
      <c r="F15" s="100">
        <f>IFERROR(C15/B15,0)</f>
        <v/>
      </c>
    </row>
    <row r="16" ht="18" customHeight="1" s="65">
      <c r="A16" s="95" t="inlineStr">
        <is>
          <t>Mphatheleni Matidze</t>
        </is>
      </c>
      <c r="B16" s="96">
        <f>IF($B$4="All",COUNTIF('Monthly Activity Log'!C$4:C$200,"Mphatheleni Matidze"),COUNTIFS('Monthly Activity Log'!B$4:B$200,$B$4,'Monthly Activity Log'!C$4:C$200,"Mphatheleni Matidze"))</f>
        <v/>
      </c>
      <c r="C16" s="96">
        <f>IF($B$4="All",COUNTIFS('Monthly Activity Log'!C$4:C$200,"Mphatheleni Matidze",'Monthly Activity Log'!K$4:K$200,"Completed"),COUNTIFS('Monthly Activity Log'!B$4:B$200,$B$4,'Monthly Activity Log'!C$4:C$200,"Mphatheleni Matidze",'Monthly Activity Log'!K$4:K$200,"Completed"))</f>
        <v/>
      </c>
      <c r="D16" s="96">
        <f>IF($B$4="All",COUNTIFS('Monthly Activity Log'!C$4:C$200,"Mphatheleni Matidze",'Monthly Activity Log'!K$4:K$200,"In Progress"),COUNTIFS('Monthly Activity Log'!B$4:B$200,$B$4,'Monthly Activity Log'!C$4:C$200,"Mphatheleni Matidze",'Monthly Activity Log'!K$4:K$200,"In Progress"))</f>
        <v/>
      </c>
      <c r="E16" s="96">
        <f>IF($B$4="All",COUNTIFS('Monthly Activity Log'!C$4:C$200,"Mphatheleni Matidze",'Monthly Activity Log'!K$4:K$200,"Pending"),COUNTIFS('Monthly Activity Log'!B$4:B$200,$B$4,'Monthly Activity Log'!C$4:C$200,"Mphatheleni Matidze",'Monthly Activity Log'!K$4:K$200,"Pending"))</f>
        <v/>
      </c>
      <c r="F16" s="97">
        <f>IFERROR(C16/B16,0)</f>
        <v/>
      </c>
    </row>
    <row r="17" ht="18" customHeight="1" s="65">
      <c r="A17" s="101" t="inlineStr">
        <is>
          <t>TOTAL</t>
        </is>
      </c>
      <c r="B17" s="102">
        <f>SUM(B12:B16)</f>
        <v/>
      </c>
      <c r="C17" s="102">
        <f>SUM(C12:C16)</f>
        <v/>
      </c>
      <c r="D17" s="102">
        <f>SUM(D12:D16)</f>
        <v/>
      </c>
      <c r="E17" s="102">
        <f>SUM(E12:E16)</f>
        <v/>
      </c>
      <c r="F17" s="103">
        <f>IFERROR(C17/B17,0)</f>
        <v/>
      </c>
    </row>
    <row r="19" ht="18" customHeight="1" s="65">
      <c r="A19" s="92" t="inlineStr">
        <is>
          <t>ACTIVITIES BY CATEGORY</t>
        </is>
      </c>
      <c r="B19" s="93" t="n"/>
      <c r="C19" s="85" t="n"/>
      <c r="H19" s="92" t="inlineStr">
        <is>
          <t>ACTIVITIES BY CLIENT</t>
        </is>
      </c>
      <c r="I19" s="93" t="n"/>
      <c r="J19" s="85" t="n"/>
    </row>
    <row r="20" ht="19.5" customHeight="1" s="65">
      <c r="A20" s="94" t="inlineStr">
        <is>
          <t>Category</t>
        </is>
      </c>
      <c r="B20" s="94" t="inlineStr">
        <is>
          <t>Count</t>
        </is>
      </c>
      <c r="C20" s="94" t="inlineStr">
        <is>
          <t>% of Total</t>
        </is>
      </c>
      <c r="H20" s="94" t="inlineStr">
        <is>
          <t>Client</t>
        </is>
      </c>
      <c r="I20" s="94" t="inlineStr">
        <is>
          <t>Count</t>
        </is>
      </c>
      <c r="J20" s="94" t="inlineStr">
        <is>
          <t>% of Total</t>
        </is>
      </c>
    </row>
    <row r="21" ht="15.75" customHeight="1" s="65">
      <c r="A21" s="79" t="inlineStr">
        <is>
          <t>Project</t>
        </is>
      </c>
      <c r="B21" s="96">
        <f>IF($B$4="All",COUNTIF('Monthly Activity Log'!I$4:I$200,"Project"),COUNTIFS('Monthly Activity Log'!B$4:B$200,$B$4,'Monthly Activity Log'!I$4:I$200,"Project"))</f>
        <v/>
      </c>
      <c r="C21" s="97">
        <f>IFERROR(B21/A7,0)</f>
        <v/>
      </c>
      <c r="H21" s="79" t="inlineStr">
        <is>
          <t>SANPC</t>
        </is>
      </c>
      <c r="I21" s="96">
        <f>IF($B$4="All",COUNTIF('Monthly Activity Log'!H$4:H$200,"SANPC"),COUNTIFS('Monthly Activity Log'!B$4:B$200,$B$4,'Monthly Activity Log'!H$4:H$200,"SANPC"))</f>
        <v/>
      </c>
      <c r="J21" s="97">
        <f>IFERROR(I21/A7,0)</f>
        <v/>
      </c>
    </row>
    <row r="22" ht="15.75" customHeight="1" s="65">
      <c r="A22" s="81" t="inlineStr">
        <is>
          <t>Incident/Bug Fix</t>
        </is>
      </c>
      <c r="B22" s="99">
        <f>IF($B$4="All",COUNTIF('Monthly Activity Log'!I$4:I$200,"Incident/Bug Fix"),COUNTIFS('Monthly Activity Log'!B$4:B$200,$B$4,'Monthly Activity Log'!I$4:I$200,"Incident/Bug Fix"))</f>
        <v/>
      </c>
      <c r="C22" s="100">
        <f>IFERROR(B22/A7,0)</f>
        <v/>
      </c>
      <c r="H22" s="81" t="inlineStr">
        <is>
          <t>PetroSA</t>
        </is>
      </c>
      <c r="I22" s="99">
        <f>IF($B$4="All",COUNTIF('Monthly Activity Log'!H$4:H$200,"PetroSA"),COUNTIFS('Monthly Activity Log'!B$4:B$200,$B$4,'Monthly Activity Log'!H$4:H$200,"PetroSA"))</f>
        <v/>
      </c>
      <c r="J22" s="100">
        <f>IFERROR(I22/A7,0)</f>
        <v/>
      </c>
    </row>
    <row r="23" ht="15.75" customHeight="1" s="65">
      <c r="A23" s="79" t="inlineStr">
        <is>
          <t>Change Request</t>
        </is>
      </c>
      <c r="B23" s="96">
        <f>IF($B$4="All",COUNTIF('Monthly Activity Log'!I$4:I$200,"Change Request"),COUNTIFS('Monthly Activity Log'!B$4:B$200,$B$4,'Monthly Activity Log'!I$4:I$200,"Change Request"))</f>
        <v/>
      </c>
      <c r="C23" s="97">
        <f>IFERROR(B23/A7,0)</f>
        <v/>
      </c>
      <c r="H23" s="79" t="inlineStr">
        <is>
          <t>PetroSA Ghana</t>
        </is>
      </c>
      <c r="I23" s="96">
        <f>IF($B$4="All",COUNTIF('Monthly Activity Log'!H$4:H$200,"PetroSA Ghana"),COUNTIFS('Monthly Activity Log'!B$4:B$200,$B$4,'Monthly Activity Log'!H$4:H$200,"PetroSA Ghana"))</f>
        <v/>
      </c>
      <c r="J23" s="97">
        <f>IFERROR(I23/A7,0)</f>
        <v/>
      </c>
    </row>
    <row r="24" ht="15.75" customHeight="1" s="65">
      <c r="A24" s="81" t="inlineStr">
        <is>
          <t>User Support</t>
        </is>
      </c>
      <c r="B24" s="99">
        <f>IF($B$4="All",COUNTIF('Monthly Activity Log'!I$4:I$200,"User Support"),COUNTIFS('Monthly Activity Log'!B$4:B$200,$B$4,'Monthly Activity Log'!I$4:I$200,"User Support"))</f>
        <v/>
      </c>
      <c r="C24" s="100">
        <f>IFERROR(B24/A7,0)</f>
        <v/>
      </c>
      <c r="H24" s="81" t="inlineStr">
        <is>
          <t>Legacy/CEF</t>
        </is>
      </c>
      <c r="I24" s="99">
        <f>IF($B$4="All",COUNTIF('Monthly Activity Log'!H$4:H$200,"Legacy/CEF"),COUNTIFS('Monthly Activity Log'!B$4:B$200,$B$4,'Monthly Activity Log'!H$4:H$200,"Legacy/CEF"))</f>
        <v/>
      </c>
      <c r="J24" s="100">
        <f>IFERROR(I24/A7,0)</f>
        <v/>
      </c>
    </row>
    <row r="25" ht="15.75" customHeight="1" s="65">
      <c r="A25" s="79" t="inlineStr">
        <is>
          <t>Admin/Config</t>
        </is>
      </c>
      <c r="B25" s="96">
        <f>IF($B$4="All",COUNTIF('Monthly Activity Log'!I$4:I$200,"Admin/Config"),COUNTIFS('Monthly Activity Log'!B$4:B$200,$B$4,'Monthly Activity Log'!I$4:I$200,"Admin/Config"))</f>
        <v/>
      </c>
      <c r="C25" s="97">
        <f>IFERROR(B25/A7,0)</f>
        <v/>
      </c>
      <c r="H25" s="79" t="inlineStr">
        <is>
          <t>SANPC/SFF</t>
        </is>
      </c>
      <c r="I25" s="96">
        <f>IF($B$4="All",COUNTIF('Monthly Activity Log'!H$4:H$200,"SANPC/SFF"),COUNTIFS('Monthly Activity Log'!B$4:B$200,$B$4,'Monthly Activity Log'!H$4:H$200,"SANPC/SFF"))</f>
        <v/>
      </c>
      <c r="J25" s="97">
        <f>IFERROR(I25/A7,0)</f>
        <v/>
      </c>
    </row>
    <row r="26" ht="15.75" customHeight="1" s="65">
      <c r="A26" s="81" t="inlineStr">
        <is>
          <t>Reporting</t>
        </is>
      </c>
      <c r="B26" s="99">
        <f>IF($B$4="All",COUNTIF('Monthly Activity Log'!I$4:I$200,"Reporting"),COUNTIFS('Monthly Activity Log'!B$4:B$200,$B$4,'Monthly Activity Log'!I$4:I$200,"Reporting"))</f>
        <v/>
      </c>
      <c r="C26" s="100">
        <f>IFERROR(B26/A7,0)</f>
        <v/>
      </c>
      <c r="H26" s="81" t="inlineStr">
        <is>
          <t>PetroSA/SANPC</t>
        </is>
      </c>
      <c r="I26" s="99">
        <f>IF($B$4="All",COUNTIF('Monthly Activity Log'!H$4:H$200,"PetroSA/SANPC"),COUNTIFS('Monthly Activity Log'!B$4:B$200,$B$4,'Monthly Activity Log'!H$4:H$200,"PetroSA/SANPC"))</f>
        <v/>
      </c>
      <c r="J26" s="100">
        <f>IFERROR(I26/A7,0)</f>
        <v/>
      </c>
    </row>
    <row r="27" ht="15.75" customHeight="1" s="65">
      <c r="A27" s="79" t="inlineStr">
        <is>
          <t>Mentoring</t>
        </is>
      </c>
      <c r="B27" s="96">
        <f>IF($B$4="All",COUNTIF('Monthly Activity Log'!I$4:I$200,"Mentoring"),COUNTIFS('Monthly Activity Log'!B$4:B$200,$B$4,'Monthly Activity Log'!I$4:I$200,"Mentoring"))</f>
        <v/>
      </c>
      <c r="C27" s="97">
        <f>IFERROR(B27/A7,0)</f>
        <v/>
      </c>
      <c r="H27" s="79" t="inlineStr">
        <is>
          <t>Other</t>
        </is>
      </c>
      <c r="I27" s="96">
        <f>IF($B$4="All",COUNTIF('Monthly Activity Log'!H$4:H$200,"Other"),COUNTIFS('Monthly Activity Log'!B$4:B$200,$B$4,'Monthly Activity Log'!H$4:H$200,"Other"))</f>
        <v/>
      </c>
      <c r="J27" s="97">
        <f>IFERROR(I27/A7,0)</f>
        <v/>
      </c>
    </row>
    <row r="28" ht="15.75" customHeight="1" s="65">
      <c r="A28" s="81" t="inlineStr">
        <is>
          <t>Other</t>
        </is>
      </c>
      <c r="B28" s="99">
        <f>IF($B$4="All",COUNTIF('Monthly Activity Log'!I$4:I$200,"Other"),COUNTIFS('Monthly Activity Log'!B$4:B$200,$B$4,'Monthly Activity Log'!I$4:I$200,"Other"))</f>
        <v/>
      </c>
      <c r="C28" s="100">
        <f>IFERROR(B28/A7,0)</f>
        <v/>
      </c>
    </row>
  </sheetData>
  <mergeCells count="17">
    <mergeCell ref="K7:L7"/>
    <mergeCell ref="E6:F6"/>
    <mergeCell ref="C6:D6"/>
    <mergeCell ref="I6:J6"/>
    <mergeCell ref="A7:B7"/>
    <mergeCell ref="C7:D7"/>
    <mergeCell ref="E7:F7"/>
    <mergeCell ref="G7:H7"/>
    <mergeCell ref="I7:J7"/>
    <mergeCell ref="A10:F10"/>
    <mergeCell ref="A2:N2"/>
    <mergeCell ref="H19:J19"/>
    <mergeCell ref="A19:C19"/>
    <mergeCell ref="G6:H6"/>
    <mergeCell ref="K6:L6"/>
    <mergeCell ref="A6:B6"/>
    <mergeCell ref="A1:N1"/>
  </mergeCells>
  <dataValidations count="1">
    <dataValidation sqref="B4" showDropDown="0" showInputMessage="0" showErrorMessage="0" allowBlank="0" type="list" errorStyle="stop" operator="between">
      <formula1>"All,January,February,March,April,May,June,July,August,September,October,November,December"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6B75"/>
    <outlinePr summaryBelow="1" summaryRight="1"/>
    <pageSetUpPr fitToPage="0"/>
  </sheetPr>
  <dimension ref="A1:K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10" customWidth="1" style="64" min="2" max="2"/>
    <col width="16" customWidth="1" style="64" min="3" max="4"/>
    <col width="14" customWidth="1" style="64" min="5" max="5"/>
    <col width="30" customWidth="1" style="64" min="6" max="6"/>
    <col width="46" customWidth="1" style="64" min="7" max="7"/>
    <col width="14" customWidth="1" style="64" min="8" max="9"/>
    <col width="11" customWidth="1" style="64" min="10" max="10"/>
    <col width="13" customWidth="1" style="64" min="11" max="11"/>
  </cols>
  <sheetData>
    <row r="1" ht="31.5" customHeight="1" s="65">
      <c r="A1" s="66" t="inlineStr">
        <is>
          <t>BA Team – Team Member Workload View</t>
        </is>
      </c>
    </row>
    <row r="2" ht="15.75" customHeight="1" s="65">
      <c r="A2" s="104" t="inlineStr">
        <is>
          <t>👤  Select a team member in B3 to filter. Select 'All' to see the full team. Updates automatically from the Monthly Activity Log.</t>
        </is>
      </c>
    </row>
    <row r="3" ht="21.75" customHeight="1" s="65">
      <c r="A3" s="82" t="inlineStr">
        <is>
          <t>Team Member:</t>
        </is>
      </c>
      <c r="B3" s="83" t="inlineStr">
        <is>
          <t>All</t>
        </is>
      </c>
      <c r="D3" s="82" t="inlineStr">
        <is>
          <t>Month:</t>
        </is>
      </c>
      <c r="E3" s="83" t="inlineStr">
        <is>
          <t>All</t>
        </is>
      </c>
    </row>
    <row r="4" ht="25.5" customHeight="1" s="65">
      <c r="A4" s="94" t="inlineStr">
        <is>
          <t>#</t>
        </is>
      </c>
      <c r="B4" s="94" t="inlineStr">
        <is>
          <t>Month</t>
        </is>
      </c>
      <c r="C4" s="94" t="inlineStr">
        <is>
          <t>Team Member</t>
        </is>
      </c>
      <c r="D4" s="94" t="inlineStr">
        <is>
          <t>Dept/Module</t>
        </is>
      </c>
      <c r="E4" s="94" t="inlineStr">
        <is>
          <t>Ticket No.</t>
        </is>
      </c>
      <c r="F4" s="94" t="inlineStr">
        <is>
          <t>Activity Name</t>
        </is>
      </c>
      <c r="G4" s="94" t="inlineStr">
        <is>
          <t>Description</t>
        </is>
      </c>
      <c r="H4" s="94" t="inlineStr">
        <is>
          <t>Client</t>
        </is>
      </c>
      <c r="I4" s="94" t="inlineStr">
        <is>
          <t>Category</t>
        </is>
      </c>
      <c r="J4" s="94" t="inlineStr">
        <is>
          <t>Priority</t>
        </is>
      </c>
      <c r="K4" s="94" t="inlineStr">
        <is>
          <t>Status</t>
        </is>
      </c>
    </row>
    <row r="5" ht="15.75" customHeight="1" s="65">
      <c r="A5" s="73">
        <f>IF(AND(('Monthly Activity Log'!C4&lt;&gt;""),(OR($B$3="All",'Monthly Activity Log'!C4=$B$3)),(OR($E$3="All",'Monthly Activity Log'!B4=$E$3))),ROW()-4,"")</f>
        <v/>
      </c>
      <c r="B5" s="74">
        <f>IF(AND(('Monthly Activity Log'!C4&lt;&gt;""),(OR($B$3="All",'Monthly Activity Log'!C4=$B$3)),(OR($E$3="All",'Monthly Activity Log'!B4=$E$3))),'Monthly Activity Log'!B4,"")</f>
        <v/>
      </c>
      <c r="C5" s="74">
        <f>IF(AND(('Monthly Activity Log'!C4&lt;&gt;""),(OR($B$3="All",'Monthly Activity Log'!C4=$B$3)),(OR($E$3="All",'Monthly Activity Log'!B4=$E$3))),'Monthly Activity Log'!C4,"")</f>
        <v/>
      </c>
      <c r="D5" s="74">
        <f>IF(AND(('Monthly Activity Log'!C4&lt;&gt;""),(OR($B$3="All",'Monthly Activity Log'!C4=$B$3)),(OR($E$3="All",'Monthly Activity Log'!B4=$E$3))),'Monthly Activity Log'!D4,"")</f>
        <v/>
      </c>
      <c r="E5" s="74">
        <f>IF(AND(('Monthly Activity Log'!C4&lt;&gt;""),(OR($B$3="All",'Monthly Activity Log'!C4=$B$3)),(OR($E$3="All",'Monthly Activity Log'!B4=$E$3))),'Monthly Activity Log'!E4,"")</f>
        <v/>
      </c>
      <c r="F5" s="74">
        <f>IF(AND(('Monthly Activity Log'!C4&lt;&gt;""),(OR($B$3="All",'Monthly Activity Log'!C4=$B$3)),(OR($E$3="All",'Monthly Activity Log'!B4=$E$3))),'Monthly Activity Log'!F4,"")</f>
        <v/>
      </c>
      <c r="G5" s="74">
        <f>IF(AND(('Monthly Activity Log'!C4&lt;&gt;""),(OR($B$3="All",'Monthly Activity Log'!C4=$B$3)),(OR($E$3="All",'Monthly Activity Log'!B4=$E$3))),'Monthly Activity Log'!G4,"")</f>
        <v/>
      </c>
      <c r="H5" s="74">
        <f>IF(AND(('Monthly Activity Log'!C4&lt;&gt;""),(OR($B$3="All",'Monthly Activity Log'!C4=$B$3)),(OR($E$3="All",'Monthly Activity Log'!B4=$E$3))),'Monthly Activity Log'!H4,"")</f>
        <v/>
      </c>
      <c r="I5" s="74">
        <f>IF(AND(('Monthly Activity Log'!C4&lt;&gt;""),(OR($B$3="All",'Monthly Activity Log'!C4=$B$3)),(OR($E$3="All",'Monthly Activity Log'!B4=$E$3))),'Monthly Activity Log'!I4,"")</f>
        <v/>
      </c>
      <c r="J5" s="74">
        <f>IF(AND(('Monthly Activity Log'!C4&lt;&gt;""),(OR($B$3="All",'Monthly Activity Log'!C4=$B$3)),(OR($E$3="All",'Monthly Activity Log'!B4=$E$3))),'Monthly Activity Log'!J4,"")</f>
        <v/>
      </c>
      <c r="K5" s="74">
        <f>IF(AND(('Monthly Activity Log'!C4&lt;&gt;""),(OR($B$3="All",'Monthly Activity Log'!C4=$B$3)),(OR($E$3="All",'Monthly Activity Log'!B4=$E$3))),'Monthly Activity Log'!K4,"")</f>
        <v/>
      </c>
    </row>
    <row r="6" ht="15.75" customHeight="1" s="65">
      <c r="A6" s="69">
        <f>IF(AND(('Monthly Activity Log'!C5&lt;&gt;""),(OR($B$3="All",'Monthly Activity Log'!C5=$B$3)),(OR($E$3="All",'Monthly Activity Log'!B5=$E$3))),ROW()-4,"")</f>
        <v/>
      </c>
      <c r="B6" s="70">
        <f>IF(AND(('Monthly Activity Log'!C5&lt;&gt;""),(OR($B$3="All",'Monthly Activity Log'!C5=$B$3)),(OR($E$3="All",'Monthly Activity Log'!B5=$E$3))),'Monthly Activity Log'!B5,"")</f>
        <v/>
      </c>
      <c r="C6" s="70">
        <f>IF(AND(('Monthly Activity Log'!C5&lt;&gt;""),(OR($B$3="All",'Monthly Activity Log'!C5=$B$3)),(OR($E$3="All",'Monthly Activity Log'!B5=$E$3))),'Monthly Activity Log'!C5,"")</f>
        <v/>
      </c>
      <c r="D6" s="70">
        <f>IF(AND(('Monthly Activity Log'!C5&lt;&gt;""),(OR($B$3="All",'Monthly Activity Log'!C5=$B$3)),(OR($E$3="All",'Monthly Activity Log'!B5=$E$3))),'Monthly Activity Log'!D5,"")</f>
        <v/>
      </c>
      <c r="E6" s="70">
        <f>IF(AND(('Monthly Activity Log'!C5&lt;&gt;""),(OR($B$3="All",'Monthly Activity Log'!C5=$B$3)),(OR($E$3="All",'Monthly Activity Log'!B5=$E$3))),'Monthly Activity Log'!E5,"")</f>
        <v/>
      </c>
      <c r="F6" s="70">
        <f>IF(AND(('Monthly Activity Log'!C5&lt;&gt;""),(OR($B$3="All",'Monthly Activity Log'!C5=$B$3)),(OR($E$3="All",'Monthly Activity Log'!B5=$E$3))),'Monthly Activity Log'!F5,"")</f>
        <v/>
      </c>
      <c r="G6" s="70">
        <f>IF(AND(('Monthly Activity Log'!C5&lt;&gt;""),(OR($B$3="All",'Monthly Activity Log'!C5=$B$3)),(OR($E$3="All",'Monthly Activity Log'!B5=$E$3))),'Monthly Activity Log'!G5,"")</f>
        <v/>
      </c>
      <c r="H6" s="70">
        <f>IF(AND(('Monthly Activity Log'!C5&lt;&gt;""),(OR($B$3="All",'Monthly Activity Log'!C5=$B$3)),(OR($E$3="All",'Monthly Activity Log'!B5=$E$3))),'Monthly Activity Log'!H5,"")</f>
        <v/>
      </c>
      <c r="I6" s="70">
        <f>IF(AND(('Monthly Activity Log'!C5&lt;&gt;""),(OR($B$3="All",'Monthly Activity Log'!C5=$B$3)),(OR($E$3="All",'Monthly Activity Log'!B5=$E$3))),'Monthly Activity Log'!I5,"")</f>
        <v/>
      </c>
      <c r="J6" s="70">
        <f>IF(AND(('Monthly Activity Log'!C5&lt;&gt;""),(OR($B$3="All",'Monthly Activity Log'!C5=$B$3)),(OR($E$3="All",'Monthly Activity Log'!B5=$E$3))),'Monthly Activity Log'!J5,"")</f>
        <v/>
      </c>
      <c r="K6" s="70">
        <f>IF(AND(('Monthly Activity Log'!C5&lt;&gt;""),(OR($B$3="All",'Monthly Activity Log'!C5=$B$3)),(OR($E$3="All",'Monthly Activity Log'!B5=$E$3))),'Monthly Activity Log'!K5,"")</f>
        <v/>
      </c>
    </row>
    <row r="7" ht="15.75" customHeight="1" s="65">
      <c r="A7" s="73">
        <f>IF(AND(('Monthly Activity Log'!C6&lt;&gt;""),(OR($B$3="All",'Monthly Activity Log'!C6=$B$3)),(OR($E$3="All",'Monthly Activity Log'!B6=$E$3))),ROW()-4,"")</f>
        <v/>
      </c>
      <c r="B7" s="74">
        <f>IF(AND(('Monthly Activity Log'!C6&lt;&gt;""),(OR($B$3="All",'Monthly Activity Log'!C6=$B$3)),(OR($E$3="All",'Monthly Activity Log'!B6=$E$3))),'Monthly Activity Log'!B6,"")</f>
        <v/>
      </c>
      <c r="C7" s="74">
        <f>IF(AND(('Monthly Activity Log'!C6&lt;&gt;""),(OR($B$3="All",'Monthly Activity Log'!C6=$B$3)),(OR($E$3="All",'Monthly Activity Log'!B6=$E$3))),'Monthly Activity Log'!C6,"")</f>
        <v/>
      </c>
      <c r="D7" s="74">
        <f>IF(AND(('Monthly Activity Log'!C6&lt;&gt;""),(OR($B$3="All",'Monthly Activity Log'!C6=$B$3)),(OR($E$3="All",'Monthly Activity Log'!B6=$E$3))),'Monthly Activity Log'!D6,"")</f>
        <v/>
      </c>
      <c r="E7" s="74">
        <f>IF(AND(('Monthly Activity Log'!C6&lt;&gt;""),(OR($B$3="All",'Monthly Activity Log'!C6=$B$3)),(OR($E$3="All",'Monthly Activity Log'!B6=$E$3))),'Monthly Activity Log'!E6,"")</f>
        <v/>
      </c>
      <c r="F7" s="74">
        <f>IF(AND(('Monthly Activity Log'!C6&lt;&gt;""),(OR($B$3="All",'Monthly Activity Log'!C6=$B$3)),(OR($E$3="All",'Monthly Activity Log'!B6=$E$3))),'Monthly Activity Log'!F6,"")</f>
        <v/>
      </c>
      <c r="G7" s="74">
        <f>IF(AND(('Monthly Activity Log'!C6&lt;&gt;""),(OR($B$3="All",'Monthly Activity Log'!C6=$B$3)),(OR($E$3="All",'Monthly Activity Log'!B6=$E$3))),'Monthly Activity Log'!G6,"")</f>
        <v/>
      </c>
      <c r="H7" s="74">
        <f>IF(AND(('Monthly Activity Log'!C6&lt;&gt;""),(OR($B$3="All",'Monthly Activity Log'!C6=$B$3)),(OR($E$3="All",'Monthly Activity Log'!B6=$E$3))),'Monthly Activity Log'!H6,"")</f>
        <v/>
      </c>
      <c r="I7" s="74">
        <f>IF(AND(('Monthly Activity Log'!C6&lt;&gt;""),(OR($B$3="All",'Monthly Activity Log'!C6=$B$3)),(OR($E$3="All",'Monthly Activity Log'!B6=$E$3))),'Monthly Activity Log'!I6,"")</f>
        <v/>
      </c>
      <c r="J7" s="74">
        <f>IF(AND(('Monthly Activity Log'!C6&lt;&gt;""),(OR($B$3="All",'Monthly Activity Log'!C6=$B$3)),(OR($E$3="All",'Monthly Activity Log'!B6=$E$3))),'Monthly Activity Log'!J6,"")</f>
        <v/>
      </c>
      <c r="K7" s="74">
        <f>IF(AND(('Monthly Activity Log'!C6&lt;&gt;""),(OR($B$3="All",'Monthly Activity Log'!C6=$B$3)),(OR($E$3="All",'Monthly Activity Log'!B6=$E$3))),'Monthly Activity Log'!K6,"")</f>
        <v/>
      </c>
    </row>
    <row r="8" ht="15.75" customHeight="1" s="65">
      <c r="A8" s="69">
        <f>IF(AND(('Monthly Activity Log'!C7&lt;&gt;""),(OR($B$3="All",'Monthly Activity Log'!C7=$B$3)),(OR($E$3="All",'Monthly Activity Log'!B7=$E$3))),ROW()-4,"")</f>
        <v/>
      </c>
      <c r="B8" s="70">
        <f>IF(AND(('Monthly Activity Log'!C7&lt;&gt;""),(OR($B$3="All",'Monthly Activity Log'!C7=$B$3)),(OR($E$3="All",'Monthly Activity Log'!B7=$E$3))),'Monthly Activity Log'!B7,"")</f>
        <v/>
      </c>
      <c r="C8" s="70">
        <f>IF(AND(('Monthly Activity Log'!C7&lt;&gt;""),(OR($B$3="All",'Monthly Activity Log'!C7=$B$3)),(OR($E$3="All",'Monthly Activity Log'!B7=$E$3))),'Monthly Activity Log'!C7,"")</f>
        <v/>
      </c>
      <c r="D8" s="70">
        <f>IF(AND(('Monthly Activity Log'!C7&lt;&gt;""),(OR($B$3="All",'Monthly Activity Log'!C7=$B$3)),(OR($E$3="All",'Monthly Activity Log'!B7=$E$3))),'Monthly Activity Log'!D7,"")</f>
        <v/>
      </c>
      <c r="E8" s="70">
        <f>IF(AND(('Monthly Activity Log'!C7&lt;&gt;""),(OR($B$3="All",'Monthly Activity Log'!C7=$B$3)),(OR($E$3="All",'Monthly Activity Log'!B7=$E$3))),'Monthly Activity Log'!E7,"")</f>
        <v/>
      </c>
      <c r="F8" s="70">
        <f>IF(AND(('Monthly Activity Log'!C7&lt;&gt;""),(OR($B$3="All",'Monthly Activity Log'!C7=$B$3)),(OR($E$3="All",'Monthly Activity Log'!B7=$E$3))),'Monthly Activity Log'!F7,"")</f>
        <v/>
      </c>
      <c r="G8" s="70">
        <f>IF(AND(('Monthly Activity Log'!C7&lt;&gt;""),(OR($B$3="All",'Monthly Activity Log'!C7=$B$3)),(OR($E$3="All",'Monthly Activity Log'!B7=$E$3))),'Monthly Activity Log'!G7,"")</f>
        <v/>
      </c>
      <c r="H8" s="70">
        <f>IF(AND(('Monthly Activity Log'!C7&lt;&gt;""),(OR($B$3="All",'Monthly Activity Log'!C7=$B$3)),(OR($E$3="All",'Monthly Activity Log'!B7=$E$3))),'Monthly Activity Log'!H7,"")</f>
        <v/>
      </c>
      <c r="I8" s="70">
        <f>IF(AND(('Monthly Activity Log'!C7&lt;&gt;""),(OR($B$3="All",'Monthly Activity Log'!C7=$B$3)),(OR($E$3="All",'Monthly Activity Log'!B7=$E$3))),'Monthly Activity Log'!I7,"")</f>
        <v/>
      </c>
      <c r="J8" s="70">
        <f>IF(AND(('Monthly Activity Log'!C7&lt;&gt;""),(OR($B$3="All",'Monthly Activity Log'!C7=$B$3)),(OR($E$3="All",'Monthly Activity Log'!B7=$E$3))),'Monthly Activity Log'!J7,"")</f>
        <v/>
      </c>
      <c r="K8" s="70">
        <f>IF(AND(('Monthly Activity Log'!C7&lt;&gt;""),(OR($B$3="All",'Monthly Activity Log'!C7=$B$3)),(OR($E$3="All",'Monthly Activity Log'!B7=$E$3))),'Monthly Activity Log'!K7,"")</f>
        <v/>
      </c>
    </row>
    <row r="9" ht="15.75" customHeight="1" s="65">
      <c r="A9" s="73">
        <f>IF(AND(('Monthly Activity Log'!C8&lt;&gt;""),(OR($B$3="All",'Monthly Activity Log'!C8=$B$3)),(OR($E$3="All",'Monthly Activity Log'!B8=$E$3))),ROW()-4,"")</f>
        <v/>
      </c>
      <c r="B9" s="74">
        <f>IF(AND(('Monthly Activity Log'!C8&lt;&gt;""),(OR($B$3="All",'Monthly Activity Log'!C8=$B$3)),(OR($E$3="All",'Monthly Activity Log'!B8=$E$3))),'Monthly Activity Log'!B8,"")</f>
        <v/>
      </c>
      <c r="C9" s="74">
        <f>IF(AND(('Monthly Activity Log'!C8&lt;&gt;""),(OR($B$3="All",'Monthly Activity Log'!C8=$B$3)),(OR($E$3="All",'Monthly Activity Log'!B8=$E$3))),'Monthly Activity Log'!C8,"")</f>
        <v/>
      </c>
      <c r="D9" s="74">
        <f>IF(AND(('Monthly Activity Log'!C8&lt;&gt;""),(OR($B$3="All",'Monthly Activity Log'!C8=$B$3)),(OR($E$3="All",'Monthly Activity Log'!B8=$E$3))),'Monthly Activity Log'!D8,"")</f>
        <v/>
      </c>
      <c r="E9" s="74">
        <f>IF(AND(('Monthly Activity Log'!C8&lt;&gt;""),(OR($B$3="All",'Monthly Activity Log'!C8=$B$3)),(OR($E$3="All",'Monthly Activity Log'!B8=$E$3))),'Monthly Activity Log'!E8,"")</f>
        <v/>
      </c>
      <c r="F9" s="74">
        <f>IF(AND(('Monthly Activity Log'!C8&lt;&gt;""),(OR($B$3="All",'Monthly Activity Log'!C8=$B$3)),(OR($E$3="All",'Monthly Activity Log'!B8=$E$3))),'Monthly Activity Log'!F8,"")</f>
        <v/>
      </c>
      <c r="G9" s="74">
        <f>IF(AND(('Monthly Activity Log'!C8&lt;&gt;""),(OR($B$3="All",'Monthly Activity Log'!C8=$B$3)),(OR($E$3="All",'Monthly Activity Log'!B8=$E$3))),'Monthly Activity Log'!G8,"")</f>
        <v/>
      </c>
      <c r="H9" s="74">
        <f>IF(AND(('Monthly Activity Log'!C8&lt;&gt;""),(OR($B$3="All",'Monthly Activity Log'!C8=$B$3)),(OR($E$3="All",'Monthly Activity Log'!B8=$E$3))),'Monthly Activity Log'!H8,"")</f>
        <v/>
      </c>
      <c r="I9" s="74">
        <f>IF(AND(('Monthly Activity Log'!C8&lt;&gt;""),(OR($B$3="All",'Monthly Activity Log'!C8=$B$3)),(OR($E$3="All",'Monthly Activity Log'!B8=$E$3))),'Monthly Activity Log'!I8,"")</f>
        <v/>
      </c>
      <c r="J9" s="74">
        <f>IF(AND(('Monthly Activity Log'!C8&lt;&gt;""),(OR($B$3="All",'Monthly Activity Log'!C8=$B$3)),(OR($E$3="All",'Monthly Activity Log'!B8=$E$3))),'Monthly Activity Log'!J8,"")</f>
        <v/>
      </c>
      <c r="K9" s="74">
        <f>IF(AND(('Monthly Activity Log'!C8&lt;&gt;""),(OR($B$3="All",'Monthly Activity Log'!C8=$B$3)),(OR($E$3="All",'Monthly Activity Log'!B8=$E$3))),'Monthly Activity Log'!K8,"")</f>
        <v/>
      </c>
    </row>
    <row r="10" ht="15.75" customHeight="1" s="65">
      <c r="A10" s="69">
        <f>IF(AND(('Monthly Activity Log'!C9&lt;&gt;""),(OR($B$3="All",'Monthly Activity Log'!C9=$B$3)),(OR($E$3="All",'Monthly Activity Log'!B9=$E$3))),ROW()-4,"")</f>
        <v/>
      </c>
      <c r="B10" s="70">
        <f>IF(AND(('Monthly Activity Log'!C9&lt;&gt;""),(OR($B$3="All",'Monthly Activity Log'!C9=$B$3)),(OR($E$3="All",'Monthly Activity Log'!B9=$E$3))),'Monthly Activity Log'!B9,"")</f>
        <v/>
      </c>
      <c r="C10" s="70">
        <f>IF(AND(('Monthly Activity Log'!C9&lt;&gt;""),(OR($B$3="All",'Monthly Activity Log'!C9=$B$3)),(OR($E$3="All",'Monthly Activity Log'!B9=$E$3))),'Monthly Activity Log'!C9,"")</f>
        <v/>
      </c>
      <c r="D10" s="70">
        <f>IF(AND(('Monthly Activity Log'!C9&lt;&gt;""),(OR($B$3="All",'Monthly Activity Log'!C9=$B$3)),(OR($E$3="All",'Monthly Activity Log'!B9=$E$3))),'Monthly Activity Log'!D9,"")</f>
        <v/>
      </c>
      <c r="E10" s="70">
        <f>IF(AND(('Monthly Activity Log'!C9&lt;&gt;""),(OR($B$3="All",'Monthly Activity Log'!C9=$B$3)),(OR($E$3="All",'Monthly Activity Log'!B9=$E$3))),'Monthly Activity Log'!E9,"")</f>
        <v/>
      </c>
      <c r="F10" s="70">
        <f>IF(AND(('Monthly Activity Log'!C9&lt;&gt;""),(OR($B$3="All",'Monthly Activity Log'!C9=$B$3)),(OR($E$3="All",'Monthly Activity Log'!B9=$E$3))),'Monthly Activity Log'!F9,"")</f>
        <v/>
      </c>
      <c r="G10" s="70">
        <f>IF(AND(('Monthly Activity Log'!C9&lt;&gt;""),(OR($B$3="All",'Monthly Activity Log'!C9=$B$3)),(OR($E$3="All",'Monthly Activity Log'!B9=$E$3))),'Monthly Activity Log'!G9,"")</f>
        <v/>
      </c>
      <c r="H10" s="70">
        <f>IF(AND(('Monthly Activity Log'!C9&lt;&gt;""),(OR($B$3="All",'Monthly Activity Log'!C9=$B$3)),(OR($E$3="All",'Monthly Activity Log'!B9=$E$3))),'Monthly Activity Log'!H9,"")</f>
        <v/>
      </c>
      <c r="I10" s="70">
        <f>IF(AND(('Monthly Activity Log'!C9&lt;&gt;""),(OR($B$3="All",'Monthly Activity Log'!C9=$B$3)),(OR($E$3="All",'Monthly Activity Log'!B9=$E$3))),'Monthly Activity Log'!I9,"")</f>
        <v/>
      </c>
      <c r="J10" s="70">
        <f>IF(AND(('Monthly Activity Log'!C9&lt;&gt;""),(OR($B$3="All",'Monthly Activity Log'!C9=$B$3)),(OR($E$3="All",'Monthly Activity Log'!B9=$E$3))),'Monthly Activity Log'!J9,"")</f>
        <v/>
      </c>
      <c r="K10" s="70">
        <f>IF(AND(('Monthly Activity Log'!C9&lt;&gt;""),(OR($B$3="All",'Monthly Activity Log'!C9=$B$3)),(OR($E$3="All",'Monthly Activity Log'!B9=$E$3))),'Monthly Activity Log'!K9,"")</f>
        <v/>
      </c>
    </row>
    <row r="11" ht="15.75" customHeight="1" s="65">
      <c r="A11" s="73">
        <f>IF(AND(('Monthly Activity Log'!C10&lt;&gt;""),(OR($B$3="All",'Monthly Activity Log'!C10=$B$3)),(OR($E$3="All",'Monthly Activity Log'!B10=$E$3))),ROW()-4,"")</f>
        <v/>
      </c>
      <c r="B11" s="74">
        <f>IF(AND(('Monthly Activity Log'!C10&lt;&gt;""),(OR($B$3="All",'Monthly Activity Log'!C10=$B$3)),(OR($E$3="All",'Monthly Activity Log'!B10=$E$3))),'Monthly Activity Log'!B10,"")</f>
        <v/>
      </c>
      <c r="C11" s="74">
        <f>IF(AND(('Monthly Activity Log'!C10&lt;&gt;""),(OR($B$3="All",'Monthly Activity Log'!C10=$B$3)),(OR($E$3="All",'Monthly Activity Log'!B10=$E$3))),'Monthly Activity Log'!C10,"")</f>
        <v/>
      </c>
      <c r="D11" s="74">
        <f>IF(AND(('Monthly Activity Log'!C10&lt;&gt;""),(OR($B$3="All",'Monthly Activity Log'!C10=$B$3)),(OR($E$3="All",'Monthly Activity Log'!B10=$E$3))),'Monthly Activity Log'!D10,"")</f>
        <v/>
      </c>
      <c r="E11" s="74">
        <f>IF(AND(('Monthly Activity Log'!C10&lt;&gt;""),(OR($B$3="All",'Monthly Activity Log'!C10=$B$3)),(OR($E$3="All",'Monthly Activity Log'!B10=$E$3))),'Monthly Activity Log'!E10,"")</f>
        <v/>
      </c>
      <c r="F11" s="74">
        <f>IF(AND(('Monthly Activity Log'!C10&lt;&gt;""),(OR($B$3="All",'Monthly Activity Log'!C10=$B$3)),(OR($E$3="All",'Monthly Activity Log'!B10=$E$3))),'Monthly Activity Log'!F10,"")</f>
        <v/>
      </c>
      <c r="G11" s="74">
        <f>IF(AND(('Monthly Activity Log'!C10&lt;&gt;""),(OR($B$3="All",'Monthly Activity Log'!C10=$B$3)),(OR($E$3="All",'Monthly Activity Log'!B10=$E$3))),'Monthly Activity Log'!G10,"")</f>
        <v/>
      </c>
      <c r="H11" s="74">
        <f>IF(AND(('Monthly Activity Log'!C10&lt;&gt;""),(OR($B$3="All",'Monthly Activity Log'!C10=$B$3)),(OR($E$3="All",'Monthly Activity Log'!B10=$E$3))),'Monthly Activity Log'!H10,"")</f>
        <v/>
      </c>
      <c r="I11" s="74">
        <f>IF(AND(('Monthly Activity Log'!C10&lt;&gt;""),(OR($B$3="All",'Monthly Activity Log'!C10=$B$3)),(OR($E$3="All",'Monthly Activity Log'!B10=$E$3))),'Monthly Activity Log'!I10,"")</f>
        <v/>
      </c>
      <c r="J11" s="74">
        <f>IF(AND(('Monthly Activity Log'!C10&lt;&gt;""),(OR($B$3="All",'Monthly Activity Log'!C10=$B$3)),(OR($E$3="All",'Monthly Activity Log'!B10=$E$3))),'Monthly Activity Log'!J10,"")</f>
        <v/>
      </c>
      <c r="K11" s="74">
        <f>IF(AND(('Monthly Activity Log'!C10&lt;&gt;""),(OR($B$3="All",'Monthly Activity Log'!C10=$B$3)),(OR($E$3="All",'Monthly Activity Log'!B10=$E$3))),'Monthly Activity Log'!K10,"")</f>
        <v/>
      </c>
    </row>
    <row r="12" ht="15.75" customHeight="1" s="65">
      <c r="A12" s="69">
        <f>IF(AND(('Monthly Activity Log'!C11&lt;&gt;""),(OR($B$3="All",'Monthly Activity Log'!C11=$B$3)),(OR($E$3="All",'Monthly Activity Log'!B11=$E$3))),ROW()-4,"")</f>
        <v/>
      </c>
      <c r="B12" s="70">
        <f>IF(AND(('Monthly Activity Log'!C11&lt;&gt;""),(OR($B$3="All",'Monthly Activity Log'!C11=$B$3)),(OR($E$3="All",'Monthly Activity Log'!B11=$E$3))),'Monthly Activity Log'!B11,"")</f>
        <v/>
      </c>
      <c r="C12" s="70">
        <f>IF(AND(('Monthly Activity Log'!C11&lt;&gt;""),(OR($B$3="All",'Monthly Activity Log'!C11=$B$3)),(OR($E$3="All",'Monthly Activity Log'!B11=$E$3))),'Monthly Activity Log'!C11,"")</f>
        <v/>
      </c>
      <c r="D12" s="70">
        <f>IF(AND(('Monthly Activity Log'!C11&lt;&gt;""),(OR($B$3="All",'Monthly Activity Log'!C11=$B$3)),(OR($E$3="All",'Monthly Activity Log'!B11=$E$3))),'Monthly Activity Log'!D11,"")</f>
        <v/>
      </c>
      <c r="E12" s="70">
        <f>IF(AND(('Monthly Activity Log'!C11&lt;&gt;""),(OR($B$3="All",'Monthly Activity Log'!C11=$B$3)),(OR($E$3="All",'Monthly Activity Log'!B11=$E$3))),'Monthly Activity Log'!E11,"")</f>
        <v/>
      </c>
      <c r="F12" s="70">
        <f>IF(AND(('Monthly Activity Log'!C11&lt;&gt;""),(OR($B$3="All",'Monthly Activity Log'!C11=$B$3)),(OR($E$3="All",'Monthly Activity Log'!B11=$E$3))),'Monthly Activity Log'!F11,"")</f>
        <v/>
      </c>
      <c r="G12" s="70">
        <f>IF(AND(('Monthly Activity Log'!C11&lt;&gt;""),(OR($B$3="All",'Monthly Activity Log'!C11=$B$3)),(OR($E$3="All",'Monthly Activity Log'!B11=$E$3))),'Monthly Activity Log'!G11,"")</f>
        <v/>
      </c>
      <c r="H12" s="70">
        <f>IF(AND(('Monthly Activity Log'!C11&lt;&gt;""),(OR($B$3="All",'Monthly Activity Log'!C11=$B$3)),(OR($E$3="All",'Monthly Activity Log'!B11=$E$3))),'Monthly Activity Log'!H11,"")</f>
        <v/>
      </c>
      <c r="I12" s="70">
        <f>IF(AND(('Monthly Activity Log'!C11&lt;&gt;""),(OR($B$3="All",'Monthly Activity Log'!C11=$B$3)),(OR($E$3="All",'Monthly Activity Log'!B11=$E$3))),'Monthly Activity Log'!I11,"")</f>
        <v/>
      </c>
      <c r="J12" s="70">
        <f>IF(AND(('Monthly Activity Log'!C11&lt;&gt;""),(OR($B$3="All",'Monthly Activity Log'!C11=$B$3)),(OR($E$3="All",'Monthly Activity Log'!B11=$E$3))),'Monthly Activity Log'!J11,"")</f>
        <v/>
      </c>
      <c r="K12" s="70">
        <f>IF(AND(('Monthly Activity Log'!C11&lt;&gt;""),(OR($B$3="All",'Monthly Activity Log'!C11=$B$3)),(OR($E$3="All",'Monthly Activity Log'!B11=$E$3))),'Monthly Activity Log'!K11,"")</f>
        <v/>
      </c>
    </row>
    <row r="13" ht="15.75" customHeight="1" s="65">
      <c r="A13" s="73">
        <f>IF(AND(('Monthly Activity Log'!C12&lt;&gt;""),(OR($B$3="All",'Monthly Activity Log'!C12=$B$3)),(OR($E$3="All",'Monthly Activity Log'!B12=$E$3))),ROW()-4,"")</f>
        <v/>
      </c>
      <c r="B13" s="74">
        <f>IF(AND(('Monthly Activity Log'!C12&lt;&gt;""),(OR($B$3="All",'Monthly Activity Log'!C12=$B$3)),(OR($E$3="All",'Monthly Activity Log'!B12=$E$3))),'Monthly Activity Log'!B12,"")</f>
        <v/>
      </c>
      <c r="C13" s="74">
        <f>IF(AND(('Monthly Activity Log'!C12&lt;&gt;""),(OR($B$3="All",'Monthly Activity Log'!C12=$B$3)),(OR($E$3="All",'Monthly Activity Log'!B12=$E$3))),'Monthly Activity Log'!C12,"")</f>
        <v/>
      </c>
      <c r="D13" s="74">
        <f>IF(AND(('Monthly Activity Log'!C12&lt;&gt;""),(OR($B$3="All",'Monthly Activity Log'!C12=$B$3)),(OR($E$3="All",'Monthly Activity Log'!B12=$E$3))),'Monthly Activity Log'!D12,"")</f>
        <v/>
      </c>
      <c r="E13" s="74">
        <f>IF(AND(('Monthly Activity Log'!C12&lt;&gt;""),(OR($B$3="All",'Monthly Activity Log'!C12=$B$3)),(OR($E$3="All",'Monthly Activity Log'!B12=$E$3))),'Monthly Activity Log'!E12,"")</f>
        <v/>
      </c>
      <c r="F13" s="74">
        <f>IF(AND(('Monthly Activity Log'!C12&lt;&gt;""),(OR($B$3="All",'Monthly Activity Log'!C12=$B$3)),(OR($E$3="All",'Monthly Activity Log'!B12=$E$3))),'Monthly Activity Log'!F12,"")</f>
        <v/>
      </c>
      <c r="G13" s="74">
        <f>IF(AND(('Monthly Activity Log'!C12&lt;&gt;""),(OR($B$3="All",'Monthly Activity Log'!C12=$B$3)),(OR($E$3="All",'Monthly Activity Log'!B12=$E$3))),'Monthly Activity Log'!G12,"")</f>
        <v/>
      </c>
      <c r="H13" s="74">
        <f>IF(AND(('Monthly Activity Log'!C12&lt;&gt;""),(OR($B$3="All",'Monthly Activity Log'!C12=$B$3)),(OR($E$3="All",'Monthly Activity Log'!B12=$E$3))),'Monthly Activity Log'!H12,"")</f>
        <v/>
      </c>
      <c r="I13" s="74">
        <f>IF(AND(('Monthly Activity Log'!C12&lt;&gt;""),(OR($B$3="All",'Monthly Activity Log'!C12=$B$3)),(OR($E$3="All",'Monthly Activity Log'!B12=$E$3))),'Monthly Activity Log'!I12,"")</f>
        <v/>
      </c>
      <c r="J13" s="74">
        <f>IF(AND(('Monthly Activity Log'!C12&lt;&gt;""),(OR($B$3="All",'Monthly Activity Log'!C12=$B$3)),(OR($E$3="All",'Monthly Activity Log'!B12=$E$3))),'Monthly Activity Log'!J12,"")</f>
        <v/>
      </c>
      <c r="K13" s="74">
        <f>IF(AND(('Monthly Activity Log'!C12&lt;&gt;""),(OR($B$3="All",'Monthly Activity Log'!C12=$B$3)),(OR($E$3="All",'Monthly Activity Log'!B12=$E$3))),'Monthly Activity Log'!K12,"")</f>
        <v/>
      </c>
    </row>
    <row r="14" ht="15.75" customHeight="1" s="65">
      <c r="A14" s="69">
        <f>IF(AND(('Monthly Activity Log'!C13&lt;&gt;""),(OR($B$3="All",'Monthly Activity Log'!C13=$B$3)),(OR($E$3="All",'Monthly Activity Log'!B13=$E$3))),ROW()-4,"")</f>
        <v/>
      </c>
      <c r="B14" s="70">
        <f>IF(AND(('Monthly Activity Log'!C13&lt;&gt;""),(OR($B$3="All",'Monthly Activity Log'!C13=$B$3)),(OR($E$3="All",'Monthly Activity Log'!B13=$E$3))),'Monthly Activity Log'!B13,"")</f>
        <v/>
      </c>
      <c r="C14" s="70">
        <f>IF(AND(('Monthly Activity Log'!C13&lt;&gt;""),(OR($B$3="All",'Monthly Activity Log'!C13=$B$3)),(OR($E$3="All",'Monthly Activity Log'!B13=$E$3))),'Monthly Activity Log'!C13,"")</f>
        <v/>
      </c>
      <c r="D14" s="70">
        <f>IF(AND(('Monthly Activity Log'!C13&lt;&gt;""),(OR($B$3="All",'Monthly Activity Log'!C13=$B$3)),(OR($E$3="All",'Monthly Activity Log'!B13=$E$3))),'Monthly Activity Log'!D13,"")</f>
        <v/>
      </c>
      <c r="E14" s="70">
        <f>IF(AND(('Monthly Activity Log'!C13&lt;&gt;""),(OR($B$3="All",'Monthly Activity Log'!C13=$B$3)),(OR($E$3="All",'Monthly Activity Log'!B13=$E$3))),'Monthly Activity Log'!E13,"")</f>
        <v/>
      </c>
      <c r="F14" s="70">
        <f>IF(AND(('Monthly Activity Log'!C13&lt;&gt;""),(OR($B$3="All",'Monthly Activity Log'!C13=$B$3)),(OR($E$3="All",'Monthly Activity Log'!B13=$E$3))),'Monthly Activity Log'!F13,"")</f>
        <v/>
      </c>
      <c r="G14" s="70">
        <f>IF(AND(('Monthly Activity Log'!C13&lt;&gt;""),(OR($B$3="All",'Monthly Activity Log'!C13=$B$3)),(OR($E$3="All",'Monthly Activity Log'!B13=$E$3))),'Monthly Activity Log'!G13,"")</f>
        <v/>
      </c>
      <c r="H14" s="70">
        <f>IF(AND(('Monthly Activity Log'!C13&lt;&gt;""),(OR($B$3="All",'Monthly Activity Log'!C13=$B$3)),(OR($E$3="All",'Monthly Activity Log'!B13=$E$3))),'Monthly Activity Log'!H13,"")</f>
        <v/>
      </c>
      <c r="I14" s="70">
        <f>IF(AND(('Monthly Activity Log'!C13&lt;&gt;""),(OR($B$3="All",'Monthly Activity Log'!C13=$B$3)),(OR($E$3="All",'Monthly Activity Log'!B13=$E$3))),'Monthly Activity Log'!I13,"")</f>
        <v/>
      </c>
      <c r="J14" s="70">
        <f>IF(AND(('Monthly Activity Log'!C13&lt;&gt;""),(OR($B$3="All",'Monthly Activity Log'!C13=$B$3)),(OR($E$3="All",'Monthly Activity Log'!B13=$E$3))),'Monthly Activity Log'!J13,"")</f>
        <v/>
      </c>
      <c r="K14" s="70">
        <f>IF(AND(('Monthly Activity Log'!C13&lt;&gt;""),(OR($B$3="All",'Monthly Activity Log'!C13=$B$3)),(OR($E$3="All",'Monthly Activity Log'!B13=$E$3))),'Monthly Activity Log'!K13,"")</f>
        <v/>
      </c>
    </row>
    <row r="15" ht="15.75" customHeight="1" s="65">
      <c r="A15" s="73">
        <f>IF(AND(('Monthly Activity Log'!C14&lt;&gt;""),(OR($B$3="All",'Monthly Activity Log'!C14=$B$3)),(OR($E$3="All",'Monthly Activity Log'!B14=$E$3))),ROW()-4,"")</f>
        <v/>
      </c>
      <c r="B15" s="74">
        <f>IF(AND(('Monthly Activity Log'!C14&lt;&gt;""),(OR($B$3="All",'Monthly Activity Log'!C14=$B$3)),(OR($E$3="All",'Monthly Activity Log'!B14=$E$3))),'Monthly Activity Log'!B14,"")</f>
        <v/>
      </c>
      <c r="C15" s="74">
        <f>IF(AND(('Monthly Activity Log'!C14&lt;&gt;""),(OR($B$3="All",'Monthly Activity Log'!C14=$B$3)),(OR($E$3="All",'Monthly Activity Log'!B14=$E$3))),'Monthly Activity Log'!C14,"")</f>
        <v/>
      </c>
      <c r="D15" s="74">
        <f>IF(AND(('Monthly Activity Log'!C14&lt;&gt;""),(OR($B$3="All",'Monthly Activity Log'!C14=$B$3)),(OR($E$3="All",'Monthly Activity Log'!B14=$E$3))),'Monthly Activity Log'!D14,"")</f>
        <v/>
      </c>
      <c r="E15" s="74">
        <f>IF(AND(('Monthly Activity Log'!C14&lt;&gt;""),(OR($B$3="All",'Monthly Activity Log'!C14=$B$3)),(OR($E$3="All",'Monthly Activity Log'!B14=$E$3))),'Monthly Activity Log'!E14,"")</f>
        <v/>
      </c>
      <c r="F15" s="74">
        <f>IF(AND(('Monthly Activity Log'!C14&lt;&gt;""),(OR($B$3="All",'Monthly Activity Log'!C14=$B$3)),(OR($E$3="All",'Monthly Activity Log'!B14=$E$3))),'Monthly Activity Log'!F14,"")</f>
        <v/>
      </c>
      <c r="G15" s="74">
        <f>IF(AND(('Monthly Activity Log'!C14&lt;&gt;""),(OR($B$3="All",'Monthly Activity Log'!C14=$B$3)),(OR($E$3="All",'Monthly Activity Log'!B14=$E$3))),'Monthly Activity Log'!G14,"")</f>
        <v/>
      </c>
      <c r="H15" s="74">
        <f>IF(AND(('Monthly Activity Log'!C14&lt;&gt;""),(OR($B$3="All",'Monthly Activity Log'!C14=$B$3)),(OR($E$3="All",'Monthly Activity Log'!B14=$E$3))),'Monthly Activity Log'!H14,"")</f>
        <v/>
      </c>
      <c r="I15" s="74">
        <f>IF(AND(('Monthly Activity Log'!C14&lt;&gt;""),(OR($B$3="All",'Monthly Activity Log'!C14=$B$3)),(OR($E$3="All",'Monthly Activity Log'!B14=$E$3))),'Monthly Activity Log'!I14,"")</f>
        <v/>
      </c>
      <c r="J15" s="74">
        <f>IF(AND(('Monthly Activity Log'!C14&lt;&gt;""),(OR($B$3="All",'Monthly Activity Log'!C14=$B$3)),(OR($E$3="All",'Monthly Activity Log'!B14=$E$3))),'Monthly Activity Log'!J14,"")</f>
        <v/>
      </c>
      <c r="K15" s="74">
        <f>IF(AND(('Monthly Activity Log'!C14&lt;&gt;""),(OR($B$3="All",'Monthly Activity Log'!C14=$B$3)),(OR($E$3="All",'Monthly Activity Log'!B14=$E$3))),'Monthly Activity Log'!K14,"")</f>
        <v/>
      </c>
    </row>
    <row r="16" ht="15.75" customHeight="1" s="65">
      <c r="A16" s="69">
        <f>IF(AND(('Monthly Activity Log'!C15&lt;&gt;""),(OR($B$3="All",'Monthly Activity Log'!C15=$B$3)),(OR($E$3="All",'Monthly Activity Log'!B15=$E$3))),ROW()-4,"")</f>
        <v/>
      </c>
      <c r="B16" s="70">
        <f>IF(AND(('Monthly Activity Log'!C15&lt;&gt;""),(OR($B$3="All",'Monthly Activity Log'!C15=$B$3)),(OR($E$3="All",'Monthly Activity Log'!B15=$E$3))),'Monthly Activity Log'!B15,"")</f>
        <v/>
      </c>
      <c r="C16" s="70">
        <f>IF(AND(('Monthly Activity Log'!C15&lt;&gt;""),(OR($B$3="All",'Monthly Activity Log'!C15=$B$3)),(OR($E$3="All",'Monthly Activity Log'!B15=$E$3))),'Monthly Activity Log'!C15,"")</f>
        <v/>
      </c>
      <c r="D16" s="70">
        <f>IF(AND(('Monthly Activity Log'!C15&lt;&gt;""),(OR($B$3="All",'Monthly Activity Log'!C15=$B$3)),(OR($E$3="All",'Monthly Activity Log'!B15=$E$3))),'Monthly Activity Log'!D15,"")</f>
        <v/>
      </c>
      <c r="E16" s="70">
        <f>IF(AND(('Monthly Activity Log'!C15&lt;&gt;""),(OR($B$3="All",'Monthly Activity Log'!C15=$B$3)),(OR($E$3="All",'Monthly Activity Log'!B15=$E$3))),'Monthly Activity Log'!E15,"")</f>
        <v/>
      </c>
      <c r="F16" s="70">
        <f>IF(AND(('Monthly Activity Log'!C15&lt;&gt;""),(OR($B$3="All",'Monthly Activity Log'!C15=$B$3)),(OR($E$3="All",'Monthly Activity Log'!B15=$E$3))),'Monthly Activity Log'!F15,"")</f>
        <v/>
      </c>
      <c r="G16" s="70">
        <f>IF(AND(('Monthly Activity Log'!C15&lt;&gt;""),(OR($B$3="All",'Monthly Activity Log'!C15=$B$3)),(OR($E$3="All",'Monthly Activity Log'!B15=$E$3))),'Monthly Activity Log'!G15,"")</f>
        <v/>
      </c>
      <c r="H16" s="70">
        <f>IF(AND(('Monthly Activity Log'!C15&lt;&gt;""),(OR($B$3="All",'Monthly Activity Log'!C15=$B$3)),(OR($E$3="All",'Monthly Activity Log'!B15=$E$3))),'Monthly Activity Log'!H15,"")</f>
        <v/>
      </c>
      <c r="I16" s="70">
        <f>IF(AND(('Monthly Activity Log'!C15&lt;&gt;""),(OR($B$3="All",'Monthly Activity Log'!C15=$B$3)),(OR($E$3="All",'Monthly Activity Log'!B15=$E$3))),'Monthly Activity Log'!I15,"")</f>
        <v/>
      </c>
      <c r="J16" s="70">
        <f>IF(AND(('Monthly Activity Log'!C15&lt;&gt;""),(OR($B$3="All",'Monthly Activity Log'!C15=$B$3)),(OR($E$3="All",'Monthly Activity Log'!B15=$E$3))),'Monthly Activity Log'!J15,"")</f>
        <v/>
      </c>
      <c r="K16" s="70">
        <f>IF(AND(('Monthly Activity Log'!C15&lt;&gt;""),(OR($B$3="All",'Monthly Activity Log'!C15=$B$3)),(OR($E$3="All",'Monthly Activity Log'!B15=$E$3))),'Monthly Activity Log'!K15,"")</f>
        <v/>
      </c>
    </row>
    <row r="17" ht="15.75" customHeight="1" s="65">
      <c r="A17" s="73">
        <f>IF(AND(('Monthly Activity Log'!C16&lt;&gt;""),(OR($B$3="All",'Monthly Activity Log'!C16=$B$3)),(OR($E$3="All",'Monthly Activity Log'!B16=$E$3))),ROW()-4,"")</f>
        <v/>
      </c>
      <c r="B17" s="74">
        <f>IF(AND(('Monthly Activity Log'!C16&lt;&gt;""),(OR($B$3="All",'Monthly Activity Log'!C16=$B$3)),(OR($E$3="All",'Monthly Activity Log'!B16=$E$3))),'Monthly Activity Log'!B16,"")</f>
        <v/>
      </c>
      <c r="C17" s="74">
        <f>IF(AND(('Monthly Activity Log'!C16&lt;&gt;""),(OR($B$3="All",'Monthly Activity Log'!C16=$B$3)),(OR($E$3="All",'Monthly Activity Log'!B16=$E$3))),'Monthly Activity Log'!C16,"")</f>
        <v/>
      </c>
      <c r="D17" s="74">
        <f>IF(AND(('Monthly Activity Log'!C16&lt;&gt;""),(OR($B$3="All",'Monthly Activity Log'!C16=$B$3)),(OR($E$3="All",'Monthly Activity Log'!B16=$E$3))),'Monthly Activity Log'!D16,"")</f>
        <v/>
      </c>
      <c r="E17" s="74">
        <f>IF(AND(('Monthly Activity Log'!C16&lt;&gt;""),(OR($B$3="All",'Monthly Activity Log'!C16=$B$3)),(OR($E$3="All",'Monthly Activity Log'!B16=$E$3))),'Monthly Activity Log'!E16,"")</f>
        <v/>
      </c>
      <c r="F17" s="74">
        <f>IF(AND(('Monthly Activity Log'!C16&lt;&gt;""),(OR($B$3="All",'Monthly Activity Log'!C16=$B$3)),(OR($E$3="All",'Monthly Activity Log'!B16=$E$3))),'Monthly Activity Log'!F16,"")</f>
        <v/>
      </c>
      <c r="G17" s="74">
        <f>IF(AND(('Monthly Activity Log'!C16&lt;&gt;""),(OR($B$3="All",'Monthly Activity Log'!C16=$B$3)),(OR($E$3="All",'Monthly Activity Log'!B16=$E$3))),'Monthly Activity Log'!G16,"")</f>
        <v/>
      </c>
      <c r="H17" s="74">
        <f>IF(AND(('Monthly Activity Log'!C16&lt;&gt;""),(OR($B$3="All",'Monthly Activity Log'!C16=$B$3)),(OR($E$3="All",'Monthly Activity Log'!B16=$E$3))),'Monthly Activity Log'!H16,"")</f>
        <v/>
      </c>
      <c r="I17" s="74">
        <f>IF(AND(('Monthly Activity Log'!C16&lt;&gt;""),(OR($B$3="All",'Monthly Activity Log'!C16=$B$3)),(OR($E$3="All",'Monthly Activity Log'!B16=$E$3))),'Monthly Activity Log'!I16,"")</f>
        <v/>
      </c>
      <c r="J17" s="74">
        <f>IF(AND(('Monthly Activity Log'!C16&lt;&gt;""),(OR($B$3="All",'Monthly Activity Log'!C16=$B$3)),(OR($E$3="All",'Monthly Activity Log'!B16=$E$3))),'Monthly Activity Log'!J16,"")</f>
        <v/>
      </c>
      <c r="K17" s="74">
        <f>IF(AND(('Monthly Activity Log'!C16&lt;&gt;""),(OR($B$3="All",'Monthly Activity Log'!C16=$B$3)),(OR($E$3="All",'Monthly Activity Log'!B16=$E$3))),'Monthly Activity Log'!K16,"")</f>
        <v/>
      </c>
    </row>
    <row r="18" ht="15.75" customHeight="1" s="65">
      <c r="A18" s="69">
        <f>IF(AND(('Monthly Activity Log'!C17&lt;&gt;""),(OR($B$3="All",'Monthly Activity Log'!C17=$B$3)),(OR($E$3="All",'Monthly Activity Log'!B17=$E$3))),ROW()-4,"")</f>
        <v/>
      </c>
      <c r="B18" s="70">
        <f>IF(AND(('Monthly Activity Log'!C17&lt;&gt;""),(OR($B$3="All",'Monthly Activity Log'!C17=$B$3)),(OR($E$3="All",'Monthly Activity Log'!B17=$E$3))),'Monthly Activity Log'!B17,"")</f>
        <v/>
      </c>
      <c r="C18" s="70">
        <f>IF(AND(('Monthly Activity Log'!C17&lt;&gt;""),(OR($B$3="All",'Monthly Activity Log'!C17=$B$3)),(OR($E$3="All",'Monthly Activity Log'!B17=$E$3))),'Monthly Activity Log'!C17,"")</f>
        <v/>
      </c>
      <c r="D18" s="70">
        <f>IF(AND(('Monthly Activity Log'!C17&lt;&gt;""),(OR($B$3="All",'Monthly Activity Log'!C17=$B$3)),(OR($E$3="All",'Monthly Activity Log'!B17=$E$3))),'Monthly Activity Log'!D17,"")</f>
        <v/>
      </c>
      <c r="E18" s="70">
        <f>IF(AND(('Monthly Activity Log'!C17&lt;&gt;""),(OR($B$3="All",'Monthly Activity Log'!C17=$B$3)),(OR($E$3="All",'Monthly Activity Log'!B17=$E$3))),'Monthly Activity Log'!E17,"")</f>
        <v/>
      </c>
      <c r="F18" s="70">
        <f>IF(AND(('Monthly Activity Log'!C17&lt;&gt;""),(OR($B$3="All",'Monthly Activity Log'!C17=$B$3)),(OR($E$3="All",'Monthly Activity Log'!B17=$E$3))),'Monthly Activity Log'!F17,"")</f>
        <v/>
      </c>
      <c r="G18" s="70">
        <f>IF(AND(('Monthly Activity Log'!C17&lt;&gt;""),(OR($B$3="All",'Monthly Activity Log'!C17=$B$3)),(OR($E$3="All",'Monthly Activity Log'!B17=$E$3))),'Monthly Activity Log'!G17,"")</f>
        <v/>
      </c>
      <c r="H18" s="70">
        <f>IF(AND(('Monthly Activity Log'!C17&lt;&gt;""),(OR($B$3="All",'Monthly Activity Log'!C17=$B$3)),(OR($E$3="All",'Monthly Activity Log'!B17=$E$3))),'Monthly Activity Log'!H17,"")</f>
        <v/>
      </c>
      <c r="I18" s="70">
        <f>IF(AND(('Monthly Activity Log'!C17&lt;&gt;""),(OR($B$3="All",'Monthly Activity Log'!C17=$B$3)),(OR($E$3="All",'Monthly Activity Log'!B17=$E$3))),'Monthly Activity Log'!I17,"")</f>
        <v/>
      </c>
      <c r="J18" s="70">
        <f>IF(AND(('Monthly Activity Log'!C17&lt;&gt;""),(OR($B$3="All",'Monthly Activity Log'!C17=$B$3)),(OR($E$3="All",'Monthly Activity Log'!B17=$E$3))),'Monthly Activity Log'!J17,"")</f>
        <v/>
      </c>
      <c r="K18" s="70">
        <f>IF(AND(('Monthly Activity Log'!C17&lt;&gt;""),(OR($B$3="All",'Monthly Activity Log'!C17=$B$3)),(OR($E$3="All",'Monthly Activity Log'!B17=$E$3))),'Monthly Activity Log'!K17,"")</f>
        <v/>
      </c>
    </row>
    <row r="19" ht="15.75" customHeight="1" s="65">
      <c r="A19" s="73">
        <f>IF(AND(('Monthly Activity Log'!C18&lt;&gt;""),(OR($B$3="All",'Monthly Activity Log'!C18=$B$3)),(OR($E$3="All",'Monthly Activity Log'!B18=$E$3))),ROW()-4,"")</f>
        <v/>
      </c>
      <c r="B19" s="74">
        <f>IF(AND(('Monthly Activity Log'!C18&lt;&gt;""),(OR($B$3="All",'Monthly Activity Log'!C18=$B$3)),(OR($E$3="All",'Monthly Activity Log'!B18=$E$3))),'Monthly Activity Log'!B18,"")</f>
        <v/>
      </c>
      <c r="C19" s="74">
        <f>IF(AND(('Monthly Activity Log'!C18&lt;&gt;""),(OR($B$3="All",'Monthly Activity Log'!C18=$B$3)),(OR($E$3="All",'Monthly Activity Log'!B18=$E$3))),'Monthly Activity Log'!C18,"")</f>
        <v/>
      </c>
      <c r="D19" s="74">
        <f>IF(AND(('Monthly Activity Log'!C18&lt;&gt;""),(OR($B$3="All",'Monthly Activity Log'!C18=$B$3)),(OR($E$3="All",'Monthly Activity Log'!B18=$E$3))),'Monthly Activity Log'!D18,"")</f>
        <v/>
      </c>
      <c r="E19" s="74">
        <f>IF(AND(('Monthly Activity Log'!C18&lt;&gt;""),(OR($B$3="All",'Monthly Activity Log'!C18=$B$3)),(OR($E$3="All",'Monthly Activity Log'!B18=$E$3))),'Monthly Activity Log'!E18,"")</f>
        <v/>
      </c>
      <c r="F19" s="74">
        <f>IF(AND(('Monthly Activity Log'!C18&lt;&gt;""),(OR($B$3="All",'Monthly Activity Log'!C18=$B$3)),(OR($E$3="All",'Monthly Activity Log'!B18=$E$3))),'Monthly Activity Log'!F18,"")</f>
        <v/>
      </c>
      <c r="G19" s="74">
        <f>IF(AND(('Monthly Activity Log'!C18&lt;&gt;""),(OR($B$3="All",'Monthly Activity Log'!C18=$B$3)),(OR($E$3="All",'Monthly Activity Log'!B18=$E$3))),'Monthly Activity Log'!G18,"")</f>
        <v/>
      </c>
      <c r="H19" s="74">
        <f>IF(AND(('Monthly Activity Log'!C18&lt;&gt;""),(OR($B$3="All",'Monthly Activity Log'!C18=$B$3)),(OR($E$3="All",'Monthly Activity Log'!B18=$E$3))),'Monthly Activity Log'!H18,"")</f>
        <v/>
      </c>
      <c r="I19" s="74">
        <f>IF(AND(('Monthly Activity Log'!C18&lt;&gt;""),(OR($B$3="All",'Monthly Activity Log'!C18=$B$3)),(OR($E$3="All",'Monthly Activity Log'!B18=$E$3))),'Monthly Activity Log'!I18,"")</f>
        <v/>
      </c>
      <c r="J19" s="74">
        <f>IF(AND(('Monthly Activity Log'!C18&lt;&gt;""),(OR($B$3="All",'Monthly Activity Log'!C18=$B$3)),(OR($E$3="All",'Monthly Activity Log'!B18=$E$3))),'Monthly Activity Log'!J18,"")</f>
        <v/>
      </c>
      <c r="K19" s="74">
        <f>IF(AND(('Monthly Activity Log'!C18&lt;&gt;""),(OR($B$3="All",'Monthly Activity Log'!C18=$B$3)),(OR($E$3="All",'Monthly Activity Log'!B18=$E$3))),'Monthly Activity Log'!K18,"")</f>
        <v/>
      </c>
    </row>
    <row r="20" ht="15.75" customHeight="1" s="65">
      <c r="A20" s="69">
        <f>IF(AND(('Monthly Activity Log'!C19&lt;&gt;""),(OR($B$3="All",'Monthly Activity Log'!C19=$B$3)),(OR($E$3="All",'Monthly Activity Log'!B19=$E$3))),ROW()-4,"")</f>
        <v/>
      </c>
      <c r="B20" s="70">
        <f>IF(AND(('Monthly Activity Log'!C19&lt;&gt;""),(OR($B$3="All",'Monthly Activity Log'!C19=$B$3)),(OR($E$3="All",'Monthly Activity Log'!B19=$E$3))),'Monthly Activity Log'!B19,"")</f>
        <v/>
      </c>
      <c r="C20" s="70">
        <f>IF(AND(('Monthly Activity Log'!C19&lt;&gt;""),(OR($B$3="All",'Monthly Activity Log'!C19=$B$3)),(OR($E$3="All",'Monthly Activity Log'!B19=$E$3))),'Monthly Activity Log'!C19,"")</f>
        <v/>
      </c>
      <c r="D20" s="70">
        <f>IF(AND(('Monthly Activity Log'!C19&lt;&gt;""),(OR($B$3="All",'Monthly Activity Log'!C19=$B$3)),(OR($E$3="All",'Monthly Activity Log'!B19=$E$3))),'Monthly Activity Log'!D19,"")</f>
        <v/>
      </c>
      <c r="E20" s="70">
        <f>IF(AND(('Monthly Activity Log'!C19&lt;&gt;""),(OR($B$3="All",'Monthly Activity Log'!C19=$B$3)),(OR($E$3="All",'Monthly Activity Log'!B19=$E$3))),'Monthly Activity Log'!E19,"")</f>
        <v/>
      </c>
      <c r="F20" s="70">
        <f>IF(AND(('Monthly Activity Log'!C19&lt;&gt;""),(OR($B$3="All",'Monthly Activity Log'!C19=$B$3)),(OR($E$3="All",'Monthly Activity Log'!B19=$E$3))),'Monthly Activity Log'!F19,"")</f>
        <v/>
      </c>
      <c r="G20" s="70">
        <f>IF(AND(('Monthly Activity Log'!C19&lt;&gt;""),(OR($B$3="All",'Monthly Activity Log'!C19=$B$3)),(OR($E$3="All",'Monthly Activity Log'!B19=$E$3))),'Monthly Activity Log'!G19,"")</f>
        <v/>
      </c>
      <c r="H20" s="70">
        <f>IF(AND(('Monthly Activity Log'!C19&lt;&gt;""),(OR($B$3="All",'Monthly Activity Log'!C19=$B$3)),(OR($E$3="All",'Monthly Activity Log'!B19=$E$3))),'Monthly Activity Log'!H19,"")</f>
        <v/>
      </c>
      <c r="I20" s="70">
        <f>IF(AND(('Monthly Activity Log'!C19&lt;&gt;""),(OR($B$3="All",'Monthly Activity Log'!C19=$B$3)),(OR($E$3="All",'Monthly Activity Log'!B19=$E$3))),'Monthly Activity Log'!I19,"")</f>
        <v/>
      </c>
      <c r="J20" s="70">
        <f>IF(AND(('Monthly Activity Log'!C19&lt;&gt;""),(OR($B$3="All",'Monthly Activity Log'!C19=$B$3)),(OR($E$3="All",'Monthly Activity Log'!B19=$E$3))),'Monthly Activity Log'!J19,"")</f>
        <v/>
      </c>
      <c r="K20" s="70">
        <f>IF(AND(('Monthly Activity Log'!C19&lt;&gt;""),(OR($B$3="All",'Monthly Activity Log'!C19=$B$3)),(OR($E$3="All",'Monthly Activity Log'!B19=$E$3))),'Monthly Activity Log'!K19,"")</f>
        <v/>
      </c>
    </row>
    <row r="21" ht="15.75" customHeight="1" s="65">
      <c r="A21" s="73">
        <f>IF(AND(('Monthly Activity Log'!C20&lt;&gt;""),(OR($B$3="All",'Monthly Activity Log'!C20=$B$3)),(OR($E$3="All",'Monthly Activity Log'!B20=$E$3))),ROW()-4,"")</f>
        <v/>
      </c>
      <c r="B21" s="74">
        <f>IF(AND(('Monthly Activity Log'!C20&lt;&gt;""),(OR($B$3="All",'Monthly Activity Log'!C20=$B$3)),(OR($E$3="All",'Monthly Activity Log'!B20=$E$3))),'Monthly Activity Log'!B20,"")</f>
        <v/>
      </c>
      <c r="C21" s="74">
        <f>IF(AND(('Monthly Activity Log'!C20&lt;&gt;""),(OR($B$3="All",'Monthly Activity Log'!C20=$B$3)),(OR($E$3="All",'Monthly Activity Log'!B20=$E$3))),'Monthly Activity Log'!C20,"")</f>
        <v/>
      </c>
      <c r="D21" s="74">
        <f>IF(AND(('Monthly Activity Log'!C20&lt;&gt;""),(OR($B$3="All",'Monthly Activity Log'!C20=$B$3)),(OR($E$3="All",'Monthly Activity Log'!B20=$E$3))),'Monthly Activity Log'!D20,"")</f>
        <v/>
      </c>
      <c r="E21" s="74">
        <f>IF(AND(('Monthly Activity Log'!C20&lt;&gt;""),(OR($B$3="All",'Monthly Activity Log'!C20=$B$3)),(OR($E$3="All",'Monthly Activity Log'!B20=$E$3))),'Monthly Activity Log'!E20,"")</f>
        <v/>
      </c>
      <c r="F21" s="74">
        <f>IF(AND(('Monthly Activity Log'!C20&lt;&gt;""),(OR($B$3="All",'Monthly Activity Log'!C20=$B$3)),(OR($E$3="All",'Monthly Activity Log'!B20=$E$3))),'Monthly Activity Log'!F20,"")</f>
        <v/>
      </c>
      <c r="G21" s="74">
        <f>IF(AND(('Monthly Activity Log'!C20&lt;&gt;""),(OR($B$3="All",'Monthly Activity Log'!C20=$B$3)),(OR($E$3="All",'Monthly Activity Log'!B20=$E$3))),'Monthly Activity Log'!G20,"")</f>
        <v/>
      </c>
      <c r="H21" s="74">
        <f>IF(AND(('Monthly Activity Log'!C20&lt;&gt;""),(OR($B$3="All",'Monthly Activity Log'!C20=$B$3)),(OR($E$3="All",'Monthly Activity Log'!B20=$E$3))),'Monthly Activity Log'!H20,"")</f>
        <v/>
      </c>
      <c r="I21" s="74">
        <f>IF(AND(('Monthly Activity Log'!C20&lt;&gt;""),(OR($B$3="All",'Monthly Activity Log'!C20=$B$3)),(OR($E$3="All",'Monthly Activity Log'!B20=$E$3))),'Monthly Activity Log'!I20,"")</f>
        <v/>
      </c>
      <c r="J21" s="74">
        <f>IF(AND(('Monthly Activity Log'!C20&lt;&gt;""),(OR($B$3="All",'Monthly Activity Log'!C20=$B$3)),(OR($E$3="All",'Monthly Activity Log'!B20=$E$3))),'Monthly Activity Log'!J20,"")</f>
        <v/>
      </c>
      <c r="K21" s="74">
        <f>IF(AND(('Monthly Activity Log'!C20&lt;&gt;""),(OR($B$3="All",'Monthly Activity Log'!C20=$B$3)),(OR($E$3="All",'Monthly Activity Log'!B20=$E$3))),'Monthly Activity Log'!K20,"")</f>
        <v/>
      </c>
    </row>
    <row r="22" ht="15.75" customHeight="1" s="65">
      <c r="A22" s="69">
        <f>IF(AND(('Monthly Activity Log'!C21&lt;&gt;""),(OR($B$3="All",'Monthly Activity Log'!C21=$B$3)),(OR($E$3="All",'Monthly Activity Log'!B21=$E$3))),ROW()-4,"")</f>
        <v/>
      </c>
      <c r="B22" s="70">
        <f>IF(AND(('Monthly Activity Log'!C21&lt;&gt;""),(OR($B$3="All",'Monthly Activity Log'!C21=$B$3)),(OR($E$3="All",'Monthly Activity Log'!B21=$E$3))),'Monthly Activity Log'!B21,"")</f>
        <v/>
      </c>
      <c r="C22" s="70">
        <f>IF(AND(('Monthly Activity Log'!C21&lt;&gt;""),(OR($B$3="All",'Monthly Activity Log'!C21=$B$3)),(OR($E$3="All",'Monthly Activity Log'!B21=$E$3))),'Monthly Activity Log'!C21,"")</f>
        <v/>
      </c>
      <c r="D22" s="70">
        <f>IF(AND(('Monthly Activity Log'!C21&lt;&gt;""),(OR($B$3="All",'Monthly Activity Log'!C21=$B$3)),(OR($E$3="All",'Monthly Activity Log'!B21=$E$3))),'Monthly Activity Log'!D21,"")</f>
        <v/>
      </c>
      <c r="E22" s="70">
        <f>IF(AND(('Monthly Activity Log'!C21&lt;&gt;""),(OR($B$3="All",'Monthly Activity Log'!C21=$B$3)),(OR($E$3="All",'Monthly Activity Log'!B21=$E$3))),'Monthly Activity Log'!E21,"")</f>
        <v/>
      </c>
      <c r="F22" s="70">
        <f>IF(AND(('Monthly Activity Log'!C21&lt;&gt;""),(OR($B$3="All",'Monthly Activity Log'!C21=$B$3)),(OR($E$3="All",'Monthly Activity Log'!B21=$E$3))),'Monthly Activity Log'!F21,"")</f>
        <v/>
      </c>
      <c r="G22" s="70">
        <f>IF(AND(('Monthly Activity Log'!C21&lt;&gt;""),(OR($B$3="All",'Monthly Activity Log'!C21=$B$3)),(OR($E$3="All",'Monthly Activity Log'!B21=$E$3))),'Monthly Activity Log'!G21,"")</f>
        <v/>
      </c>
      <c r="H22" s="70">
        <f>IF(AND(('Monthly Activity Log'!C21&lt;&gt;""),(OR($B$3="All",'Monthly Activity Log'!C21=$B$3)),(OR($E$3="All",'Monthly Activity Log'!B21=$E$3))),'Monthly Activity Log'!H21,"")</f>
        <v/>
      </c>
      <c r="I22" s="70">
        <f>IF(AND(('Monthly Activity Log'!C21&lt;&gt;""),(OR($B$3="All",'Monthly Activity Log'!C21=$B$3)),(OR($E$3="All",'Monthly Activity Log'!B21=$E$3))),'Monthly Activity Log'!I21,"")</f>
        <v/>
      </c>
      <c r="J22" s="70">
        <f>IF(AND(('Monthly Activity Log'!C21&lt;&gt;""),(OR($B$3="All",'Monthly Activity Log'!C21=$B$3)),(OR($E$3="All",'Monthly Activity Log'!B21=$E$3))),'Monthly Activity Log'!J21,"")</f>
        <v/>
      </c>
      <c r="K22" s="70">
        <f>IF(AND(('Monthly Activity Log'!C21&lt;&gt;""),(OR($B$3="All",'Monthly Activity Log'!C21=$B$3)),(OR($E$3="All",'Monthly Activity Log'!B21=$E$3))),'Monthly Activity Log'!K21,"")</f>
        <v/>
      </c>
    </row>
    <row r="23" ht="15.75" customHeight="1" s="65">
      <c r="A23" s="73">
        <f>IF(AND(('Monthly Activity Log'!C22&lt;&gt;""),(OR($B$3="All",'Monthly Activity Log'!C22=$B$3)),(OR($E$3="All",'Monthly Activity Log'!B22=$E$3))),ROW()-4,"")</f>
        <v/>
      </c>
      <c r="B23" s="74">
        <f>IF(AND(('Monthly Activity Log'!C22&lt;&gt;""),(OR($B$3="All",'Monthly Activity Log'!C22=$B$3)),(OR($E$3="All",'Monthly Activity Log'!B22=$E$3))),'Monthly Activity Log'!B22,"")</f>
        <v/>
      </c>
      <c r="C23" s="74">
        <f>IF(AND(('Monthly Activity Log'!C22&lt;&gt;""),(OR($B$3="All",'Monthly Activity Log'!C22=$B$3)),(OR($E$3="All",'Monthly Activity Log'!B22=$E$3))),'Monthly Activity Log'!C22,"")</f>
        <v/>
      </c>
      <c r="D23" s="74">
        <f>IF(AND(('Monthly Activity Log'!C22&lt;&gt;""),(OR($B$3="All",'Monthly Activity Log'!C22=$B$3)),(OR($E$3="All",'Monthly Activity Log'!B22=$E$3))),'Monthly Activity Log'!D22,"")</f>
        <v/>
      </c>
      <c r="E23" s="74">
        <f>IF(AND(('Monthly Activity Log'!C22&lt;&gt;""),(OR($B$3="All",'Monthly Activity Log'!C22=$B$3)),(OR($E$3="All",'Monthly Activity Log'!B22=$E$3))),'Monthly Activity Log'!E22,"")</f>
        <v/>
      </c>
      <c r="F23" s="74">
        <f>IF(AND(('Monthly Activity Log'!C22&lt;&gt;""),(OR($B$3="All",'Monthly Activity Log'!C22=$B$3)),(OR($E$3="All",'Monthly Activity Log'!B22=$E$3))),'Monthly Activity Log'!F22,"")</f>
        <v/>
      </c>
      <c r="G23" s="74">
        <f>IF(AND(('Monthly Activity Log'!C22&lt;&gt;""),(OR($B$3="All",'Monthly Activity Log'!C22=$B$3)),(OR($E$3="All",'Monthly Activity Log'!B22=$E$3))),'Monthly Activity Log'!G22,"")</f>
        <v/>
      </c>
      <c r="H23" s="74">
        <f>IF(AND(('Monthly Activity Log'!C22&lt;&gt;""),(OR($B$3="All",'Monthly Activity Log'!C22=$B$3)),(OR($E$3="All",'Monthly Activity Log'!B22=$E$3))),'Monthly Activity Log'!H22,"")</f>
        <v/>
      </c>
      <c r="I23" s="74">
        <f>IF(AND(('Monthly Activity Log'!C22&lt;&gt;""),(OR($B$3="All",'Monthly Activity Log'!C22=$B$3)),(OR($E$3="All",'Monthly Activity Log'!B22=$E$3))),'Monthly Activity Log'!I22,"")</f>
        <v/>
      </c>
      <c r="J23" s="74">
        <f>IF(AND(('Monthly Activity Log'!C22&lt;&gt;""),(OR($B$3="All",'Monthly Activity Log'!C22=$B$3)),(OR($E$3="All",'Monthly Activity Log'!B22=$E$3))),'Monthly Activity Log'!J22,"")</f>
        <v/>
      </c>
      <c r="K23" s="74">
        <f>IF(AND(('Monthly Activity Log'!C22&lt;&gt;""),(OR($B$3="All",'Monthly Activity Log'!C22=$B$3)),(OR($E$3="All",'Monthly Activity Log'!B22=$E$3))),'Monthly Activity Log'!K22,"")</f>
        <v/>
      </c>
    </row>
    <row r="24" ht="15.75" customHeight="1" s="65">
      <c r="A24" s="69">
        <f>IF(AND(('Monthly Activity Log'!C23&lt;&gt;""),(OR($B$3="All",'Monthly Activity Log'!C23=$B$3)),(OR($E$3="All",'Monthly Activity Log'!B23=$E$3))),ROW()-4,"")</f>
        <v/>
      </c>
      <c r="B24" s="70">
        <f>IF(AND(('Monthly Activity Log'!C23&lt;&gt;""),(OR($B$3="All",'Monthly Activity Log'!C23=$B$3)),(OR($E$3="All",'Monthly Activity Log'!B23=$E$3))),'Monthly Activity Log'!B23,"")</f>
        <v/>
      </c>
      <c r="C24" s="70">
        <f>IF(AND(('Monthly Activity Log'!C23&lt;&gt;""),(OR($B$3="All",'Monthly Activity Log'!C23=$B$3)),(OR($E$3="All",'Monthly Activity Log'!B23=$E$3))),'Monthly Activity Log'!C23,"")</f>
        <v/>
      </c>
      <c r="D24" s="70">
        <f>IF(AND(('Monthly Activity Log'!C23&lt;&gt;""),(OR($B$3="All",'Monthly Activity Log'!C23=$B$3)),(OR($E$3="All",'Monthly Activity Log'!B23=$E$3))),'Monthly Activity Log'!D23,"")</f>
        <v/>
      </c>
      <c r="E24" s="70">
        <f>IF(AND(('Monthly Activity Log'!C23&lt;&gt;""),(OR($B$3="All",'Monthly Activity Log'!C23=$B$3)),(OR($E$3="All",'Monthly Activity Log'!B23=$E$3))),'Monthly Activity Log'!E23,"")</f>
        <v/>
      </c>
      <c r="F24" s="70">
        <f>IF(AND(('Monthly Activity Log'!C23&lt;&gt;""),(OR($B$3="All",'Monthly Activity Log'!C23=$B$3)),(OR($E$3="All",'Monthly Activity Log'!B23=$E$3))),'Monthly Activity Log'!F23,"")</f>
        <v/>
      </c>
      <c r="G24" s="70">
        <f>IF(AND(('Monthly Activity Log'!C23&lt;&gt;""),(OR($B$3="All",'Monthly Activity Log'!C23=$B$3)),(OR($E$3="All",'Monthly Activity Log'!B23=$E$3))),'Monthly Activity Log'!G23,"")</f>
        <v/>
      </c>
      <c r="H24" s="70">
        <f>IF(AND(('Monthly Activity Log'!C23&lt;&gt;""),(OR($B$3="All",'Monthly Activity Log'!C23=$B$3)),(OR($E$3="All",'Monthly Activity Log'!B23=$E$3))),'Monthly Activity Log'!H23,"")</f>
        <v/>
      </c>
      <c r="I24" s="70">
        <f>IF(AND(('Monthly Activity Log'!C23&lt;&gt;""),(OR($B$3="All",'Monthly Activity Log'!C23=$B$3)),(OR($E$3="All",'Monthly Activity Log'!B23=$E$3))),'Monthly Activity Log'!I23,"")</f>
        <v/>
      </c>
      <c r="J24" s="70">
        <f>IF(AND(('Monthly Activity Log'!C23&lt;&gt;""),(OR($B$3="All",'Monthly Activity Log'!C23=$B$3)),(OR($E$3="All",'Monthly Activity Log'!B23=$E$3))),'Monthly Activity Log'!J23,"")</f>
        <v/>
      </c>
      <c r="K24" s="70">
        <f>IF(AND(('Monthly Activity Log'!C23&lt;&gt;""),(OR($B$3="All",'Monthly Activity Log'!C23=$B$3)),(OR($E$3="All",'Monthly Activity Log'!B23=$E$3))),'Monthly Activity Log'!K23,"")</f>
        <v/>
      </c>
    </row>
    <row r="25" ht="15.75" customHeight="1" s="65">
      <c r="A25" s="73">
        <f>IF(AND(('Monthly Activity Log'!C24&lt;&gt;""),(OR($B$3="All",'Monthly Activity Log'!C24=$B$3)),(OR($E$3="All",'Monthly Activity Log'!B24=$E$3))),ROW()-4,"")</f>
        <v/>
      </c>
      <c r="B25" s="74">
        <f>IF(AND(('Monthly Activity Log'!C24&lt;&gt;""),(OR($B$3="All",'Monthly Activity Log'!C24=$B$3)),(OR($E$3="All",'Monthly Activity Log'!B24=$E$3))),'Monthly Activity Log'!B24,"")</f>
        <v/>
      </c>
      <c r="C25" s="74">
        <f>IF(AND(('Monthly Activity Log'!C24&lt;&gt;""),(OR($B$3="All",'Monthly Activity Log'!C24=$B$3)),(OR($E$3="All",'Monthly Activity Log'!B24=$E$3))),'Monthly Activity Log'!C24,"")</f>
        <v/>
      </c>
      <c r="D25" s="74">
        <f>IF(AND(('Monthly Activity Log'!C24&lt;&gt;""),(OR($B$3="All",'Monthly Activity Log'!C24=$B$3)),(OR($E$3="All",'Monthly Activity Log'!B24=$E$3))),'Monthly Activity Log'!D24,"")</f>
        <v/>
      </c>
      <c r="E25" s="74">
        <f>IF(AND(('Monthly Activity Log'!C24&lt;&gt;""),(OR($B$3="All",'Monthly Activity Log'!C24=$B$3)),(OR($E$3="All",'Monthly Activity Log'!B24=$E$3))),'Monthly Activity Log'!E24,"")</f>
        <v/>
      </c>
      <c r="F25" s="74">
        <f>IF(AND(('Monthly Activity Log'!C24&lt;&gt;""),(OR($B$3="All",'Monthly Activity Log'!C24=$B$3)),(OR($E$3="All",'Monthly Activity Log'!B24=$E$3))),'Monthly Activity Log'!F24,"")</f>
        <v/>
      </c>
      <c r="G25" s="74">
        <f>IF(AND(('Monthly Activity Log'!C24&lt;&gt;""),(OR($B$3="All",'Monthly Activity Log'!C24=$B$3)),(OR($E$3="All",'Monthly Activity Log'!B24=$E$3))),'Monthly Activity Log'!G24,"")</f>
        <v/>
      </c>
      <c r="H25" s="74">
        <f>IF(AND(('Monthly Activity Log'!C24&lt;&gt;""),(OR($B$3="All",'Monthly Activity Log'!C24=$B$3)),(OR($E$3="All",'Monthly Activity Log'!B24=$E$3))),'Monthly Activity Log'!H24,"")</f>
        <v/>
      </c>
      <c r="I25" s="74">
        <f>IF(AND(('Monthly Activity Log'!C24&lt;&gt;""),(OR($B$3="All",'Monthly Activity Log'!C24=$B$3)),(OR($E$3="All",'Monthly Activity Log'!B24=$E$3))),'Monthly Activity Log'!I24,"")</f>
        <v/>
      </c>
      <c r="J25" s="74">
        <f>IF(AND(('Monthly Activity Log'!C24&lt;&gt;""),(OR($B$3="All",'Monthly Activity Log'!C24=$B$3)),(OR($E$3="All",'Monthly Activity Log'!B24=$E$3))),'Monthly Activity Log'!J24,"")</f>
        <v/>
      </c>
      <c r="K25" s="74">
        <f>IF(AND(('Monthly Activity Log'!C24&lt;&gt;""),(OR($B$3="All",'Monthly Activity Log'!C24=$B$3)),(OR($E$3="All",'Monthly Activity Log'!B24=$E$3))),'Monthly Activity Log'!K24,"")</f>
        <v/>
      </c>
    </row>
    <row r="26" ht="15.75" customHeight="1" s="65">
      <c r="A26" s="69">
        <f>IF(AND(('Monthly Activity Log'!C25&lt;&gt;""),(OR($B$3="All",'Monthly Activity Log'!C25=$B$3)),(OR($E$3="All",'Monthly Activity Log'!B25=$E$3))),ROW()-4,"")</f>
        <v/>
      </c>
      <c r="B26" s="70">
        <f>IF(AND(('Monthly Activity Log'!C25&lt;&gt;""),(OR($B$3="All",'Monthly Activity Log'!C25=$B$3)),(OR($E$3="All",'Monthly Activity Log'!B25=$E$3))),'Monthly Activity Log'!B25,"")</f>
        <v/>
      </c>
      <c r="C26" s="70">
        <f>IF(AND(('Monthly Activity Log'!C25&lt;&gt;""),(OR($B$3="All",'Monthly Activity Log'!C25=$B$3)),(OR($E$3="All",'Monthly Activity Log'!B25=$E$3))),'Monthly Activity Log'!C25,"")</f>
        <v/>
      </c>
      <c r="D26" s="70">
        <f>IF(AND(('Monthly Activity Log'!C25&lt;&gt;""),(OR($B$3="All",'Monthly Activity Log'!C25=$B$3)),(OR($E$3="All",'Monthly Activity Log'!B25=$E$3))),'Monthly Activity Log'!D25,"")</f>
        <v/>
      </c>
      <c r="E26" s="70">
        <f>IF(AND(('Monthly Activity Log'!C25&lt;&gt;""),(OR($B$3="All",'Monthly Activity Log'!C25=$B$3)),(OR($E$3="All",'Monthly Activity Log'!B25=$E$3))),'Monthly Activity Log'!E25,"")</f>
        <v/>
      </c>
      <c r="F26" s="70">
        <f>IF(AND(('Monthly Activity Log'!C25&lt;&gt;""),(OR($B$3="All",'Monthly Activity Log'!C25=$B$3)),(OR($E$3="All",'Monthly Activity Log'!B25=$E$3))),'Monthly Activity Log'!F25,"")</f>
        <v/>
      </c>
      <c r="G26" s="70">
        <f>IF(AND(('Monthly Activity Log'!C25&lt;&gt;""),(OR($B$3="All",'Monthly Activity Log'!C25=$B$3)),(OR($E$3="All",'Monthly Activity Log'!B25=$E$3))),'Monthly Activity Log'!G25,"")</f>
        <v/>
      </c>
      <c r="H26" s="70">
        <f>IF(AND(('Monthly Activity Log'!C25&lt;&gt;""),(OR($B$3="All",'Monthly Activity Log'!C25=$B$3)),(OR($E$3="All",'Monthly Activity Log'!B25=$E$3))),'Monthly Activity Log'!H25,"")</f>
        <v/>
      </c>
      <c r="I26" s="70">
        <f>IF(AND(('Monthly Activity Log'!C25&lt;&gt;""),(OR($B$3="All",'Monthly Activity Log'!C25=$B$3)),(OR($E$3="All",'Monthly Activity Log'!B25=$E$3))),'Monthly Activity Log'!I25,"")</f>
        <v/>
      </c>
      <c r="J26" s="70">
        <f>IF(AND(('Monthly Activity Log'!C25&lt;&gt;""),(OR($B$3="All",'Monthly Activity Log'!C25=$B$3)),(OR($E$3="All",'Monthly Activity Log'!B25=$E$3))),'Monthly Activity Log'!J25,"")</f>
        <v/>
      </c>
      <c r="K26" s="70">
        <f>IF(AND(('Monthly Activity Log'!C25&lt;&gt;""),(OR($B$3="All",'Monthly Activity Log'!C25=$B$3)),(OR($E$3="All",'Monthly Activity Log'!B25=$E$3))),'Monthly Activity Log'!K25,"")</f>
        <v/>
      </c>
    </row>
    <row r="27" ht="15.75" customHeight="1" s="65">
      <c r="A27" s="73">
        <f>IF(AND(('Monthly Activity Log'!C26&lt;&gt;""),(OR($B$3="All",'Monthly Activity Log'!C26=$B$3)),(OR($E$3="All",'Monthly Activity Log'!B26=$E$3))),ROW()-4,"")</f>
        <v/>
      </c>
      <c r="B27" s="74">
        <f>IF(AND(('Monthly Activity Log'!C26&lt;&gt;""),(OR($B$3="All",'Monthly Activity Log'!C26=$B$3)),(OR($E$3="All",'Monthly Activity Log'!B26=$E$3))),'Monthly Activity Log'!B26,"")</f>
        <v/>
      </c>
      <c r="C27" s="74">
        <f>IF(AND(('Monthly Activity Log'!C26&lt;&gt;""),(OR($B$3="All",'Monthly Activity Log'!C26=$B$3)),(OR($E$3="All",'Monthly Activity Log'!B26=$E$3))),'Monthly Activity Log'!C26,"")</f>
        <v/>
      </c>
      <c r="D27" s="74">
        <f>IF(AND(('Monthly Activity Log'!C26&lt;&gt;""),(OR($B$3="All",'Monthly Activity Log'!C26=$B$3)),(OR($E$3="All",'Monthly Activity Log'!B26=$E$3))),'Monthly Activity Log'!D26,"")</f>
        <v/>
      </c>
      <c r="E27" s="74">
        <f>IF(AND(('Monthly Activity Log'!C26&lt;&gt;""),(OR($B$3="All",'Monthly Activity Log'!C26=$B$3)),(OR($E$3="All",'Monthly Activity Log'!B26=$E$3))),'Monthly Activity Log'!E26,"")</f>
        <v/>
      </c>
      <c r="F27" s="74">
        <f>IF(AND(('Monthly Activity Log'!C26&lt;&gt;""),(OR($B$3="All",'Monthly Activity Log'!C26=$B$3)),(OR($E$3="All",'Monthly Activity Log'!B26=$E$3))),'Monthly Activity Log'!F26,"")</f>
        <v/>
      </c>
      <c r="G27" s="74">
        <f>IF(AND(('Monthly Activity Log'!C26&lt;&gt;""),(OR($B$3="All",'Monthly Activity Log'!C26=$B$3)),(OR($E$3="All",'Monthly Activity Log'!B26=$E$3))),'Monthly Activity Log'!G26,"")</f>
        <v/>
      </c>
      <c r="H27" s="74">
        <f>IF(AND(('Monthly Activity Log'!C26&lt;&gt;""),(OR($B$3="All",'Monthly Activity Log'!C26=$B$3)),(OR($E$3="All",'Monthly Activity Log'!B26=$E$3))),'Monthly Activity Log'!H26,"")</f>
        <v/>
      </c>
      <c r="I27" s="74">
        <f>IF(AND(('Monthly Activity Log'!C26&lt;&gt;""),(OR($B$3="All",'Monthly Activity Log'!C26=$B$3)),(OR($E$3="All",'Monthly Activity Log'!B26=$E$3))),'Monthly Activity Log'!I26,"")</f>
        <v/>
      </c>
      <c r="J27" s="74">
        <f>IF(AND(('Monthly Activity Log'!C26&lt;&gt;""),(OR($B$3="All",'Monthly Activity Log'!C26=$B$3)),(OR($E$3="All",'Monthly Activity Log'!B26=$E$3))),'Monthly Activity Log'!J26,"")</f>
        <v/>
      </c>
      <c r="K27" s="74">
        <f>IF(AND(('Monthly Activity Log'!C26&lt;&gt;""),(OR($B$3="All",'Monthly Activity Log'!C26=$B$3)),(OR($E$3="All",'Monthly Activity Log'!B26=$E$3))),'Monthly Activity Log'!K26,"")</f>
        <v/>
      </c>
    </row>
    <row r="28" ht="15.75" customHeight="1" s="65">
      <c r="A28" s="69">
        <f>IF(AND(('Monthly Activity Log'!C27&lt;&gt;""),(OR($B$3="All",'Monthly Activity Log'!C27=$B$3)),(OR($E$3="All",'Monthly Activity Log'!B27=$E$3))),ROW()-4,"")</f>
        <v/>
      </c>
      <c r="B28" s="70">
        <f>IF(AND(('Monthly Activity Log'!C27&lt;&gt;""),(OR($B$3="All",'Monthly Activity Log'!C27=$B$3)),(OR($E$3="All",'Monthly Activity Log'!B27=$E$3))),'Monthly Activity Log'!B27,"")</f>
        <v/>
      </c>
      <c r="C28" s="70">
        <f>IF(AND(('Monthly Activity Log'!C27&lt;&gt;""),(OR($B$3="All",'Monthly Activity Log'!C27=$B$3)),(OR($E$3="All",'Monthly Activity Log'!B27=$E$3))),'Monthly Activity Log'!C27,"")</f>
        <v/>
      </c>
      <c r="D28" s="70">
        <f>IF(AND(('Monthly Activity Log'!C27&lt;&gt;""),(OR($B$3="All",'Monthly Activity Log'!C27=$B$3)),(OR($E$3="All",'Monthly Activity Log'!B27=$E$3))),'Monthly Activity Log'!D27,"")</f>
        <v/>
      </c>
      <c r="E28" s="70">
        <f>IF(AND(('Monthly Activity Log'!C27&lt;&gt;""),(OR($B$3="All",'Monthly Activity Log'!C27=$B$3)),(OR($E$3="All",'Monthly Activity Log'!B27=$E$3))),'Monthly Activity Log'!E27,"")</f>
        <v/>
      </c>
      <c r="F28" s="70">
        <f>IF(AND(('Monthly Activity Log'!C27&lt;&gt;""),(OR($B$3="All",'Monthly Activity Log'!C27=$B$3)),(OR($E$3="All",'Monthly Activity Log'!B27=$E$3))),'Monthly Activity Log'!F27,"")</f>
        <v/>
      </c>
      <c r="G28" s="70">
        <f>IF(AND(('Monthly Activity Log'!C27&lt;&gt;""),(OR($B$3="All",'Monthly Activity Log'!C27=$B$3)),(OR($E$3="All",'Monthly Activity Log'!B27=$E$3))),'Monthly Activity Log'!G27,"")</f>
        <v/>
      </c>
      <c r="H28" s="70">
        <f>IF(AND(('Monthly Activity Log'!C27&lt;&gt;""),(OR($B$3="All",'Monthly Activity Log'!C27=$B$3)),(OR($E$3="All",'Monthly Activity Log'!B27=$E$3))),'Monthly Activity Log'!H27,"")</f>
        <v/>
      </c>
      <c r="I28" s="70">
        <f>IF(AND(('Monthly Activity Log'!C27&lt;&gt;""),(OR($B$3="All",'Monthly Activity Log'!C27=$B$3)),(OR($E$3="All",'Monthly Activity Log'!B27=$E$3))),'Monthly Activity Log'!I27,"")</f>
        <v/>
      </c>
      <c r="J28" s="70">
        <f>IF(AND(('Monthly Activity Log'!C27&lt;&gt;""),(OR($B$3="All",'Monthly Activity Log'!C27=$B$3)),(OR($E$3="All",'Monthly Activity Log'!B27=$E$3))),'Monthly Activity Log'!J27,"")</f>
        <v/>
      </c>
      <c r="K28" s="70">
        <f>IF(AND(('Monthly Activity Log'!C27&lt;&gt;""),(OR($B$3="All",'Monthly Activity Log'!C27=$B$3)),(OR($E$3="All",'Monthly Activity Log'!B27=$E$3))),'Monthly Activity Log'!K27,"")</f>
        <v/>
      </c>
    </row>
    <row r="29" ht="15.75" customHeight="1" s="65">
      <c r="A29" s="73">
        <f>IF(AND(('Monthly Activity Log'!C28&lt;&gt;""),(OR($B$3="All",'Monthly Activity Log'!C28=$B$3)),(OR($E$3="All",'Monthly Activity Log'!B28=$E$3))),ROW()-4,"")</f>
        <v/>
      </c>
      <c r="B29" s="74">
        <f>IF(AND(('Monthly Activity Log'!C28&lt;&gt;""),(OR($B$3="All",'Monthly Activity Log'!C28=$B$3)),(OR($E$3="All",'Monthly Activity Log'!B28=$E$3))),'Monthly Activity Log'!B28,"")</f>
        <v/>
      </c>
      <c r="C29" s="74">
        <f>IF(AND(('Monthly Activity Log'!C28&lt;&gt;""),(OR($B$3="All",'Monthly Activity Log'!C28=$B$3)),(OR($E$3="All",'Monthly Activity Log'!B28=$E$3))),'Monthly Activity Log'!C28,"")</f>
        <v/>
      </c>
      <c r="D29" s="74">
        <f>IF(AND(('Monthly Activity Log'!C28&lt;&gt;""),(OR($B$3="All",'Monthly Activity Log'!C28=$B$3)),(OR($E$3="All",'Monthly Activity Log'!B28=$E$3))),'Monthly Activity Log'!D28,"")</f>
        <v/>
      </c>
      <c r="E29" s="74">
        <f>IF(AND(('Monthly Activity Log'!C28&lt;&gt;""),(OR($B$3="All",'Monthly Activity Log'!C28=$B$3)),(OR($E$3="All",'Monthly Activity Log'!B28=$E$3))),'Monthly Activity Log'!E28,"")</f>
        <v/>
      </c>
      <c r="F29" s="74">
        <f>IF(AND(('Monthly Activity Log'!C28&lt;&gt;""),(OR($B$3="All",'Monthly Activity Log'!C28=$B$3)),(OR($E$3="All",'Monthly Activity Log'!B28=$E$3))),'Monthly Activity Log'!F28,"")</f>
        <v/>
      </c>
      <c r="G29" s="74">
        <f>IF(AND(('Monthly Activity Log'!C28&lt;&gt;""),(OR($B$3="All",'Monthly Activity Log'!C28=$B$3)),(OR($E$3="All",'Monthly Activity Log'!B28=$E$3))),'Monthly Activity Log'!G28,"")</f>
        <v/>
      </c>
      <c r="H29" s="74">
        <f>IF(AND(('Monthly Activity Log'!C28&lt;&gt;""),(OR($B$3="All",'Monthly Activity Log'!C28=$B$3)),(OR($E$3="All",'Monthly Activity Log'!B28=$E$3))),'Monthly Activity Log'!H28,"")</f>
        <v/>
      </c>
      <c r="I29" s="74">
        <f>IF(AND(('Monthly Activity Log'!C28&lt;&gt;""),(OR($B$3="All",'Monthly Activity Log'!C28=$B$3)),(OR($E$3="All",'Monthly Activity Log'!B28=$E$3))),'Monthly Activity Log'!I28,"")</f>
        <v/>
      </c>
      <c r="J29" s="74">
        <f>IF(AND(('Monthly Activity Log'!C28&lt;&gt;""),(OR($B$3="All",'Monthly Activity Log'!C28=$B$3)),(OR($E$3="All",'Monthly Activity Log'!B28=$E$3))),'Monthly Activity Log'!J28,"")</f>
        <v/>
      </c>
      <c r="K29" s="74">
        <f>IF(AND(('Monthly Activity Log'!C28&lt;&gt;""),(OR($B$3="All",'Monthly Activity Log'!C28=$B$3)),(OR($E$3="All",'Monthly Activity Log'!B28=$E$3))),'Monthly Activity Log'!K28,"")</f>
        <v/>
      </c>
    </row>
    <row r="30" ht="15.75" customHeight="1" s="65">
      <c r="A30" s="69">
        <f>IF(AND(('Monthly Activity Log'!C29&lt;&gt;""),(OR($B$3="All",'Monthly Activity Log'!C29=$B$3)),(OR($E$3="All",'Monthly Activity Log'!B29=$E$3))),ROW()-4,"")</f>
        <v/>
      </c>
      <c r="B30" s="70">
        <f>IF(AND(('Monthly Activity Log'!C29&lt;&gt;""),(OR($B$3="All",'Monthly Activity Log'!C29=$B$3)),(OR($E$3="All",'Monthly Activity Log'!B29=$E$3))),'Monthly Activity Log'!B29,"")</f>
        <v/>
      </c>
      <c r="C30" s="70">
        <f>IF(AND(('Monthly Activity Log'!C29&lt;&gt;""),(OR($B$3="All",'Monthly Activity Log'!C29=$B$3)),(OR($E$3="All",'Monthly Activity Log'!B29=$E$3))),'Monthly Activity Log'!C29,"")</f>
        <v/>
      </c>
      <c r="D30" s="70">
        <f>IF(AND(('Monthly Activity Log'!C29&lt;&gt;""),(OR($B$3="All",'Monthly Activity Log'!C29=$B$3)),(OR($E$3="All",'Monthly Activity Log'!B29=$E$3))),'Monthly Activity Log'!D29,"")</f>
        <v/>
      </c>
      <c r="E30" s="70">
        <f>IF(AND(('Monthly Activity Log'!C29&lt;&gt;""),(OR($B$3="All",'Monthly Activity Log'!C29=$B$3)),(OR($E$3="All",'Monthly Activity Log'!B29=$E$3))),'Monthly Activity Log'!E29,"")</f>
        <v/>
      </c>
      <c r="F30" s="70">
        <f>IF(AND(('Monthly Activity Log'!C29&lt;&gt;""),(OR($B$3="All",'Monthly Activity Log'!C29=$B$3)),(OR($E$3="All",'Monthly Activity Log'!B29=$E$3))),'Monthly Activity Log'!F29,"")</f>
        <v/>
      </c>
      <c r="G30" s="70">
        <f>IF(AND(('Monthly Activity Log'!C29&lt;&gt;""),(OR($B$3="All",'Monthly Activity Log'!C29=$B$3)),(OR($E$3="All",'Monthly Activity Log'!B29=$E$3))),'Monthly Activity Log'!G29,"")</f>
        <v/>
      </c>
      <c r="H30" s="70">
        <f>IF(AND(('Monthly Activity Log'!C29&lt;&gt;""),(OR($B$3="All",'Monthly Activity Log'!C29=$B$3)),(OR($E$3="All",'Monthly Activity Log'!B29=$E$3))),'Monthly Activity Log'!H29,"")</f>
        <v/>
      </c>
      <c r="I30" s="70">
        <f>IF(AND(('Monthly Activity Log'!C29&lt;&gt;""),(OR($B$3="All",'Monthly Activity Log'!C29=$B$3)),(OR($E$3="All",'Monthly Activity Log'!B29=$E$3))),'Monthly Activity Log'!I29,"")</f>
        <v/>
      </c>
      <c r="J30" s="70">
        <f>IF(AND(('Monthly Activity Log'!C29&lt;&gt;""),(OR($B$3="All",'Monthly Activity Log'!C29=$B$3)),(OR($E$3="All",'Monthly Activity Log'!B29=$E$3))),'Monthly Activity Log'!J29,"")</f>
        <v/>
      </c>
      <c r="K30" s="70">
        <f>IF(AND(('Monthly Activity Log'!C29&lt;&gt;""),(OR($B$3="All",'Monthly Activity Log'!C29=$B$3)),(OR($E$3="All",'Monthly Activity Log'!B29=$E$3))),'Monthly Activity Log'!K29,"")</f>
        <v/>
      </c>
    </row>
    <row r="31" ht="15.75" customHeight="1" s="65">
      <c r="A31" s="73">
        <f>IF(AND(('Monthly Activity Log'!C30&lt;&gt;""),(OR($B$3="All",'Monthly Activity Log'!C30=$B$3)),(OR($E$3="All",'Monthly Activity Log'!B30=$E$3))),ROW()-4,"")</f>
        <v/>
      </c>
      <c r="B31" s="74">
        <f>IF(AND(('Monthly Activity Log'!C30&lt;&gt;""),(OR($B$3="All",'Monthly Activity Log'!C30=$B$3)),(OR($E$3="All",'Monthly Activity Log'!B30=$E$3))),'Monthly Activity Log'!B30,"")</f>
        <v/>
      </c>
      <c r="C31" s="74">
        <f>IF(AND(('Monthly Activity Log'!C30&lt;&gt;""),(OR($B$3="All",'Monthly Activity Log'!C30=$B$3)),(OR($E$3="All",'Monthly Activity Log'!B30=$E$3))),'Monthly Activity Log'!C30,"")</f>
        <v/>
      </c>
      <c r="D31" s="74">
        <f>IF(AND(('Monthly Activity Log'!C30&lt;&gt;""),(OR($B$3="All",'Monthly Activity Log'!C30=$B$3)),(OR($E$3="All",'Monthly Activity Log'!B30=$E$3))),'Monthly Activity Log'!D30,"")</f>
        <v/>
      </c>
      <c r="E31" s="74">
        <f>IF(AND(('Monthly Activity Log'!C30&lt;&gt;""),(OR($B$3="All",'Monthly Activity Log'!C30=$B$3)),(OR($E$3="All",'Monthly Activity Log'!B30=$E$3))),'Monthly Activity Log'!E30,"")</f>
        <v/>
      </c>
      <c r="F31" s="74">
        <f>IF(AND(('Monthly Activity Log'!C30&lt;&gt;""),(OR($B$3="All",'Monthly Activity Log'!C30=$B$3)),(OR($E$3="All",'Monthly Activity Log'!B30=$E$3))),'Monthly Activity Log'!F30,"")</f>
        <v/>
      </c>
      <c r="G31" s="74">
        <f>IF(AND(('Monthly Activity Log'!C30&lt;&gt;""),(OR($B$3="All",'Monthly Activity Log'!C30=$B$3)),(OR($E$3="All",'Monthly Activity Log'!B30=$E$3))),'Monthly Activity Log'!G30,"")</f>
        <v/>
      </c>
      <c r="H31" s="74">
        <f>IF(AND(('Monthly Activity Log'!C30&lt;&gt;""),(OR($B$3="All",'Monthly Activity Log'!C30=$B$3)),(OR($E$3="All",'Monthly Activity Log'!B30=$E$3))),'Monthly Activity Log'!H30,"")</f>
        <v/>
      </c>
      <c r="I31" s="74">
        <f>IF(AND(('Monthly Activity Log'!C30&lt;&gt;""),(OR($B$3="All",'Monthly Activity Log'!C30=$B$3)),(OR($E$3="All",'Monthly Activity Log'!B30=$E$3))),'Monthly Activity Log'!I30,"")</f>
        <v/>
      </c>
      <c r="J31" s="74">
        <f>IF(AND(('Monthly Activity Log'!C30&lt;&gt;""),(OR($B$3="All",'Monthly Activity Log'!C30=$B$3)),(OR($E$3="All",'Monthly Activity Log'!B30=$E$3))),'Monthly Activity Log'!J30,"")</f>
        <v/>
      </c>
      <c r="K31" s="74">
        <f>IF(AND(('Monthly Activity Log'!C30&lt;&gt;""),(OR($B$3="All",'Monthly Activity Log'!C30=$B$3)),(OR($E$3="All",'Monthly Activity Log'!B30=$E$3))),'Monthly Activity Log'!K30,"")</f>
        <v/>
      </c>
    </row>
    <row r="32" ht="15.75" customHeight="1" s="65">
      <c r="A32" s="69">
        <f>IF(AND(('Monthly Activity Log'!C31&lt;&gt;""),(OR($B$3="All",'Monthly Activity Log'!C31=$B$3)),(OR($E$3="All",'Monthly Activity Log'!B31=$E$3))),ROW()-4,"")</f>
        <v/>
      </c>
      <c r="B32" s="70">
        <f>IF(AND(('Monthly Activity Log'!C31&lt;&gt;""),(OR($B$3="All",'Monthly Activity Log'!C31=$B$3)),(OR($E$3="All",'Monthly Activity Log'!B31=$E$3))),'Monthly Activity Log'!B31,"")</f>
        <v/>
      </c>
      <c r="C32" s="70">
        <f>IF(AND(('Monthly Activity Log'!C31&lt;&gt;""),(OR($B$3="All",'Monthly Activity Log'!C31=$B$3)),(OR($E$3="All",'Monthly Activity Log'!B31=$E$3))),'Monthly Activity Log'!C31,"")</f>
        <v/>
      </c>
      <c r="D32" s="70">
        <f>IF(AND(('Monthly Activity Log'!C31&lt;&gt;""),(OR($B$3="All",'Monthly Activity Log'!C31=$B$3)),(OR($E$3="All",'Monthly Activity Log'!B31=$E$3))),'Monthly Activity Log'!D31,"")</f>
        <v/>
      </c>
      <c r="E32" s="70">
        <f>IF(AND(('Monthly Activity Log'!C31&lt;&gt;""),(OR($B$3="All",'Monthly Activity Log'!C31=$B$3)),(OR($E$3="All",'Monthly Activity Log'!B31=$E$3))),'Monthly Activity Log'!E31,"")</f>
        <v/>
      </c>
      <c r="F32" s="70">
        <f>IF(AND(('Monthly Activity Log'!C31&lt;&gt;""),(OR($B$3="All",'Monthly Activity Log'!C31=$B$3)),(OR($E$3="All",'Monthly Activity Log'!B31=$E$3))),'Monthly Activity Log'!F31,"")</f>
        <v/>
      </c>
      <c r="G32" s="70">
        <f>IF(AND(('Monthly Activity Log'!C31&lt;&gt;""),(OR($B$3="All",'Monthly Activity Log'!C31=$B$3)),(OR($E$3="All",'Monthly Activity Log'!B31=$E$3))),'Monthly Activity Log'!G31,"")</f>
        <v/>
      </c>
      <c r="H32" s="70">
        <f>IF(AND(('Monthly Activity Log'!C31&lt;&gt;""),(OR($B$3="All",'Monthly Activity Log'!C31=$B$3)),(OR($E$3="All",'Monthly Activity Log'!B31=$E$3))),'Monthly Activity Log'!H31,"")</f>
        <v/>
      </c>
      <c r="I32" s="70">
        <f>IF(AND(('Monthly Activity Log'!C31&lt;&gt;""),(OR($B$3="All",'Monthly Activity Log'!C31=$B$3)),(OR($E$3="All",'Monthly Activity Log'!B31=$E$3))),'Monthly Activity Log'!I31,"")</f>
        <v/>
      </c>
      <c r="J32" s="70">
        <f>IF(AND(('Monthly Activity Log'!C31&lt;&gt;""),(OR($B$3="All",'Monthly Activity Log'!C31=$B$3)),(OR($E$3="All",'Monthly Activity Log'!B31=$E$3))),'Monthly Activity Log'!J31,"")</f>
        <v/>
      </c>
      <c r="K32" s="70">
        <f>IF(AND(('Monthly Activity Log'!C31&lt;&gt;""),(OR($B$3="All",'Monthly Activity Log'!C31=$B$3)),(OR($E$3="All",'Monthly Activity Log'!B31=$E$3))),'Monthly Activity Log'!K31,"")</f>
        <v/>
      </c>
    </row>
    <row r="33" ht="15.75" customHeight="1" s="65">
      <c r="A33" s="73">
        <f>IF(AND(('Monthly Activity Log'!C32&lt;&gt;""),(OR($B$3="All",'Monthly Activity Log'!C32=$B$3)),(OR($E$3="All",'Monthly Activity Log'!B32=$E$3))),ROW()-4,"")</f>
        <v/>
      </c>
      <c r="B33" s="74">
        <f>IF(AND(('Monthly Activity Log'!C32&lt;&gt;""),(OR($B$3="All",'Monthly Activity Log'!C32=$B$3)),(OR($E$3="All",'Monthly Activity Log'!B32=$E$3))),'Monthly Activity Log'!B32,"")</f>
        <v/>
      </c>
      <c r="C33" s="74">
        <f>IF(AND(('Monthly Activity Log'!C32&lt;&gt;""),(OR($B$3="All",'Monthly Activity Log'!C32=$B$3)),(OR($E$3="All",'Monthly Activity Log'!B32=$E$3))),'Monthly Activity Log'!C32,"")</f>
        <v/>
      </c>
      <c r="D33" s="74">
        <f>IF(AND(('Monthly Activity Log'!C32&lt;&gt;""),(OR($B$3="All",'Monthly Activity Log'!C32=$B$3)),(OR($E$3="All",'Monthly Activity Log'!B32=$E$3))),'Monthly Activity Log'!D32,"")</f>
        <v/>
      </c>
      <c r="E33" s="74">
        <f>IF(AND(('Monthly Activity Log'!C32&lt;&gt;""),(OR($B$3="All",'Monthly Activity Log'!C32=$B$3)),(OR($E$3="All",'Monthly Activity Log'!B32=$E$3))),'Monthly Activity Log'!E32,"")</f>
        <v/>
      </c>
      <c r="F33" s="74">
        <f>IF(AND(('Monthly Activity Log'!C32&lt;&gt;""),(OR($B$3="All",'Monthly Activity Log'!C32=$B$3)),(OR($E$3="All",'Monthly Activity Log'!B32=$E$3))),'Monthly Activity Log'!F32,"")</f>
        <v/>
      </c>
      <c r="G33" s="74">
        <f>IF(AND(('Monthly Activity Log'!C32&lt;&gt;""),(OR($B$3="All",'Monthly Activity Log'!C32=$B$3)),(OR($E$3="All",'Monthly Activity Log'!B32=$E$3))),'Monthly Activity Log'!G32,"")</f>
        <v/>
      </c>
      <c r="H33" s="74">
        <f>IF(AND(('Monthly Activity Log'!C32&lt;&gt;""),(OR($B$3="All",'Monthly Activity Log'!C32=$B$3)),(OR($E$3="All",'Monthly Activity Log'!B32=$E$3))),'Monthly Activity Log'!H32,"")</f>
        <v/>
      </c>
      <c r="I33" s="74">
        <f>IF(AND(('Monthly Activity Log'!C32&lt;&gt;""),(OR($B$3="All",'Monthly Activity Log'!C32=$B$3)),(OR($E$3="All",'Monthly Activity Log'!B32=$E$3))),'Monthly Activity Log'!I32,"")</f>
        <v/>
      </c>
      <c r="J33" s="74">
        <f>IF(AND(('Monthly Activity Log'!C32&lt;&gt;""),(OR($B$3="All",'Monthly Activity Log'!C32=$B$3)),(OR($E$3="All",'Monthly Activity Log'!B32=$E$3))),'Monthly Activity Log'!J32,"")</f>
        <v/>
      </c>
      <c r="K33" s="74">
        <f>IF(AND(('Monthly Activity Log'!C32&lt;&gt;""),(OR($B$3="All",'Monthly Activity Log'!C32=$B$3)),(OR($E$3="All",'Monthly Activity Log'!B32=$E$3))),'Monthly Activity Log'!K32,"")</f>
        <v/>
      </c>
    </row>
    <row r="34" ht="15.75" customHeight="1" s="65">
      <c r="A34" s="69">
        <f>IF(AND(('Monthly Activity Log'!C33&lt;&gt;""),(OR($B$3="All",'Monthly Activity Log'!C33=$B$3)),(OR($E$3="All",'Monthly Activity Log'!B33=$E$3))),ROW()-4,"")</f>
        <v/>
      </c>
      <c r="B34" s="70">
        <f>IF(AND(('Monthly Activity Log'!C33&lt;&gt;""),(OR($B$3="All",'Monthly Activity Log'!C33=$B$3)),(OR($E$3="All",'Monthly Activity Log'!B33=$E$3))),'Monthly Activity Log'!B33,"")</f>
        <v/>
      </c>
      <c r="C34" s="70">
        <f>IF(AND(('Monthly Activity Log'!C33&lt;&gt;""),(OR($B$3="All",'Monthly Activity Log'!C33=$B$3)),(OR($E$3="All",'Monthly Activity Log'!B33=$E$3))),'Monthly Activity Log'!C33,"")</f>
        <v/>
      </c>
      <c r="D34" s="70">
        <f>IF(AND(('Monthly Activity Log'!C33&lt;&gt;""),(OR($B$3="All",'Monthly Activity Log'!C33=$B$3)),(OR($E$3="All",'Monthly Activity Log'!B33=$E$3))),'Monthly Activity Log'!D33,"")</f>
        <v/>
      </c>
      <c r="E34" s="70">
        <f>IF(AND(('Monthly Activity Log'!C33&lt;&gt;""),(OR($B$3="All",'Monthly Activity Log'!C33=$B$3)),(OR($E$3="All",'Monthly Activity Log'!B33=$E$3))),'Monthly Activity Log'!E33,"")</f>
        <v/>
      </c>
      <c r="F34" s="70">
        <f>IF(AND(('Monthly Activity Log'!C33&lt;&gt;""),(OR($B$3="All",'Monthly Activity Log'!C33=$B$3)),(OR($E$3="All",'Monthly Activity Log'!B33=$E$3))),'Monthly Activity Log'!F33,"")</f>
        <v/>
      </c>
      <c r="G34" s="70">
        <f>IF(AND(('Monthly Activity Log'!C33&lt;&gt;""),(OR($B$3="All",'Monthly Activity Log'!C33=$B$3)),(OR($E$3="All",'Monthly Activity Log'!B33=$E$3))),'Monthly Activity Log'!G33,"")</f>
        <v/>
      </c>
      <c r="H34" s="70">
        <f>IF(AND(('Monthly Activity Log'!C33&lt;&gt;""),(OR($B$3="All",'Monthly Activity Log'!C33=$B$3)),(OR($E$3="All",'Monthly Activity Log'!B33=$E$3))),'Monthly Activity Log'!H33,"")</f>
        <v/>
      </c>
      <c r="I34" s="70">
        <f>IF(AND(('Monthly Activity Log'!C33&lt;&gt;""),(OR($B$3="All",'Monthly Activity Log'!C33=$B$3)),(OR($E$3="All",'Monthly Activity Log'!B33=$E$3))),'Monthly Activity Log'!I33,"")</f>
        <v/>
      </c>
      <c r="J34" s="70">
        <f>IF(AND(('Monthly Activity Log'!C33&lt;&gt;""),(OR($B$3="All",'Monthly Activity Log'!C33=$B$3)),(OR($E$3="All",'Monthly Activity Log'!B33=$E$3))),'Monthly Activity Log'!J33,"")</f>
        <v/>
      </c>
      <c r="K34" s="70">
        <f>IF(AND(('Monthly Activity Log'!C33&lt;&gt;""),(OR($B$3="All",'Monthly Activity Log'!C33=$B$3)),(OR($E$3="All",'Monthly Activity Log'!B33=$E$3))),'Monthly Activity Log'!K33,"")</f>
        <v/>
      </c>
    </row>
    <row r="35" ht="15.75" customHeight="1" s="65">
      <c r="A35" s="73">
        <f>IF(AND(('Monthly Activity Log'!C34&lt;&gt;""),(OR($B$3="All",'Monthly Activity Log'!C34=$B$3)),(OR($E$3="All",'Monthly Activity Log'!B34=$E$3))),ROW()-4,"")</f>
        <v/>
      </c>
      <c r="B35" s="74">
        <f>IF(AND(('Monthly Activity Log'!C34&lt;&gt;""),(OR($B$3="All",'Monthly Activity Log'!C34=$B$3)),(OR($E$3="All",'Monthly Activity Log'!B34=$E$3))),'Monthly Activity Log'!B34,"")</f>
        <v/>
      </c>
      <c r="C35" s="74">
        <f>IF(AND(('Monthly Activity Log'!C34&lt;&gt;""),(OR($B$3="All",'Monthly Activity Log'!C34=$B$3)),(OR($E$3="All",'Monthly Activity Log'!B34=$E$3))),'Monthly Activity Log'!C34,"")</f>
        <v/>
      </c>
      <c r="D35" s="74">
        <f>IF(AND(('Monthly Activity Log'!C34&lt;&gt;""),(OR($B$3="All",'Monthly Activity Log'!C34=$B$3)),(OR($E$3="All",'Monthly Activity Log'!B34=$E$3))),'Monthly Activity Log'!D34,"")</f>
        <v/>
      </c>
      <c r="E35" s="74">
        <f>IF(AND(('Monthly Activity Log'!C34&lt;&gt;""),(OR($B$3="All",'Monthly Activity Log'!C34=$B$3)),(OR($E$3="All",'Monthly Activity Log'!B34=$E$3))),'Monthly Activity Log'!E34,"")</f>
        <v/>
      </c>
      <c r="F35" s="74">
        <f>IF(AND(('Monthly Activity Log'!C34&lt;&gt;""),(OR($B$3="All",'Monthly Activity Log'!C34=$B$3)),(OR($E$3="All",'Monthly Activity Log'!B34=$E$3))),'Monthly Activity Log'!F34,"")</f>
        <v/>
      </c>
      <c r="G35" s="74">
        <f>IF(AND(('Monthly Activity Log'!C34&lt;&gt;""),(OR($B$3="All",'Monthly Activity Log'!C34=$B$3)),(OR($E$3="All",'Monthly Activity Log'!B34=$E$3))),'Monthly Activity Log'!G34,"")</f>
        <v/>
      </c>
      <c r="H35" s="74">
        <f>IF(AND(('Monthly Activity Log'!C34&lt;&gt;""),(OR($B$3="All",'Monthly Activity Log'!C34=$B$3)),(OR($E$3="All",'Monthly Activity Log'!B34=$E$3))),'Monthly Activity Log'!H34,"")</f>
        <v/>
      </c>
      <c r="I35" s="74">
        <f>IF(AND(('Monthly Activity Log'!C34&lt;&gt;""),(OR($B$3="All",'Monthly Activity Log'!C34=$B$3)),(OR($E$3="All",'Monthly Activity Log'!B34=$E$3))),'Monthly Activity Log'!I34,"")</f>
        <v/>
      </c>
      <c r="J35" s="74">
        <f>IF(AND(('Monthly Activity Log'!C34&lt;&gt;""),(OR($B$3="All",'Monthly Activity Log'!C34=$B$3)),(OR($E$3="All",'Monthly Activity Log'!B34=$E$3))),'Monthly Activity Log'!J34,"")</f>
        <v/>
      </c>
      <c r="K35" s="74">
        <f>IF(AND(('Monthly Activity Log'!C34&lt;&gt;""),(OR($B$3="All",'Monthly Activity Log'!C34=$B$3)),(OR($E$3="All",'Monthly Activity Log'!B34=$E$3))),'Monthly Activity Log'!K34,"")</f>
        <v/>
      </c>
    </row>
    <row r="36" ht="15.75" customHeight="1" s="65">
      <c r="A36" s="69">
        <f>IF(AND(('Monthly Activity Log'!C35&lt;&gt;""),(OR($B$3="All",'Monthly Activity Log'!C35=$B$3)),(OR($E$3="All",'Monthly Activity Log'!B35=$E$3))),ROW()-4,"")</f>
        <v/>
      </c>
      <c r="B36" s="70">
        <f>IF(AND(('Monthly Activity Log'!C35&lt;&gt;""),(OR($B$3="All",'Monthly Activity Log'!C35=$B$3)),(OR($E$3="All",'Monthly Activity Log'!B35=$E$3))),'Monthly Activity Log'!B35,"")</f>
        <v/>
      </c>
      <c r="C36" s="70">
        <f>IF(AND(('Monthly Activity Log'!C35&lt;&gt;""),(OR($B$3="All",'Monthly Activity Log'!C35=$B$3)),(OR($E$3="All",'Monthly Activity Log'!B35=$E$3))),'Monthly Activity Log'!C35,"")</f>
        <v/>
      </c>
      <c r="D36" s="70">
        <f>IF(AND(('Monthly Activity Log'!C35&lt;&gt;""),(OR($B$3="All",'Monthly Activity Log'!C35=$B$3)),(OR($E$3="All",'Monthly Activity Log'!B35=$E$3))),'Monthly Activity Log'!D35,"")</f>
        <v/>
      </c>
      <c r="E36" s="70">
        <f>IF(AND(('Monthly Activity Log'!C35&lt;&gt;""),(OR($B$3="All",'Monthly Activity Log'!C35=$B$3)),(OR($E$3="All",'Monthly Activity Log'!B35=$E$3))),'Monthly Activity Log'!E35,"")</f>
        <v/>
      </c>
      <c r="F36" s="70">
        <f>IF(AND(('Monthly Activity Log'!C35&lt;&gt;""),(OR($B$3="All",'Monthly Activity Log'!C35=$B$3)),(OR($E$3="All",'Monthly Activity Log'!B35=$E$3))),'Monthly Activity Log'!F35,"")</f>
        <v/>
      </c>
      <c r="G36" s="70">
        <f>IF(AND(('Monthly Activity Log'!C35&lt;&gt;""),(OR($B$3="All",'Monthly Activity Log'!C35=$B$3)),(OR($E$3="All",'Monthly Activity Log'!B35=$E$3))),'Monthly Activity Log'!G35,"")</f>
        <v/>
      </c>
      <c r="H36" s="70">
        <f>IF(AND(('Monthly Activity Log'!C35&lt;&gt;""),(OR($B$3="All",'Monthly Activity Log'!C35=$B$3)),(OR($E$3="All",'Monthly Activity Log'!B35=$E$3))),'Monthly Activity Log'!H35,"")</f>
        <v/>
      </c>
      <c r="I36" s="70">
        <f>IF(AND(('Monthly Activity Log'!C35&lt;&gt;""),(OR($B$3="All",'Monthly Activity Log'!C35=$B$3)),(OR($E$3="All",'Monthly Activity Log'!B35=$E$3))),'Monthly Activity Log'!I35,"")</f>
        <v/>
      </c>
      <c r="J36" s="70">
        <f>IF(AND(('Monthly Activity Log'!C35&lt;&gt;""),(OR($B$3="All",'Monthly Activity Log'!C35=$B$3)),(OR($E$3="All",'Monthly Activity Log'!B35=$E$3))),'Monthly Activity Log'!J35,"")</f>
        <v/>
      </c>
      <c r="K36" s="70">
        <f>IF(AND(('Monthly Activity Log'!C35&lt;&gt;""),(OR($B$3="All",'Monthly Activity Log'!C35=$B$3)),(OR($E$3="All",'Monthly Activity Log'!B35=$E$3))),'Monthly Activity Log'!K35,"")</f>
        <v/>
      </c>
    </row>
    <row r="37" ht="15.75" customHeight="1" s="65">
      <c r="A37" s="73">
        <f>IF(AND(('Monthly Activity Log'!C36&lt;&gt;""),(OR($B$3="All",'Monthly Activity Log'!C36=$B$3)),(OR($E$3="All",'Monthly Activity Log'!B36=$E$3))),ROW()-4,"")</f>
        <v/>
      </c>
      <c r="B37" s="74">
        <f>IF(AND(('Monthly Activity Log'!C36&lt;&gt;""),(OR($B$3="All",'Monthly Activity Log'!C36=$B$3)),(OR($E$3="All",'Monthly Activity Log'!B36=$E$3))),'Monthly Activity Log'!B36,"")</f>
        <v/>
      </c>
      <c r="C37" s="74">
        <f>IF(AND(('Monthly Activity Log'!C36&lt;&gt;""),(OR($B$3="All",'Monthly Activity Log'!C36=$B$3)),(OR($E$3="All",'Monthly Activity Log'!B36=$E$3))),'Monthly Activity Log'!C36,"")</f>
        <v/>
      </c>
      <c r="D37" s="74">
        <f>IF(AND(('Monthly Activity Log'!C36&lt;&gt;""),(OR($B$3="All",'Monthly Activity Log'!C36=$B$3)),(OR($E$3="All",'Monthly Activity Log'!B36=$E$3))),'Monthly Activity Log'!D36,"")</f>
        <v/>
      </c>
      <c r="E37" s="74">
        <f>IF(AND(('Monthly Activity Log'!C36&lt;&gt;""),(OR($B$3="All",'Monthly Activity Log'!C36=$B$3)),(OR($E$3="All",'Monthly Activity Log'!B36=$E$3))),'Monthly Activity Log'!E36,"")</f>
        <v/>
      </c>
      <c r="F37" s="74">
        <f>IF(AND(('Monthly Activity Log'!C36&lt;&gt;""),(OR($B$3="All",'Monthly Activity Log'!C36=$B$3)),(OR($E$3="All",'Monthly Activity Log'!B36=$E$3))),'Monthly Activity Log'!F36,"")</f>
        <v/>
      </c>
      <c r="G37" s="74">
        <f>IF(AND(('Monthly Activity Log'!C36&lt;&gt;""),(OR($B$3="All",'Monthly Activity Log'!C36=$B$3)),(OR($E$3="All",'Monthly Activity Log'!B36=$E$3))),'Monthly Activity Log'!G36,"")</f>
        <v/>
      </c>
      <c r="H37" s="74">
        <f>IF(AND(('Monthly Activity Log'!C36&lt;&gt;""),(OR($B$3="All",'Monthly Activity Log'!C36=$B$3)),(OR($E$3="All",'Monthly Activity Log'!B36=$E$3))),'Monthly Activity Log'!H36,"")</f>
        <v/>
      </c>
      <c r="I37" s="74">
        <f>IF(AND(('Monthly Activity Log'!C36&lt;&gt;""),(OR($B$3="All",'Monthly Activity Log'!C36=$B$3)),(OR($E$3="All",'Monthly Activity Log'!B36=$E$3))),'Monthly Activity Log'!I36,"")</f>
        <v/>
      </c>
      <c r="J37" s="74">
        <f>IF(AND(('Monthly Activity Log'!C36&lt;&gt;""),(OR($B$3="All",'Monthly Activity Log'!C36=$B$3)),(OR($E$3="All",'Monthly Activity Log'!B36=$E$3))),'Monthly Activity Log'!J36,"")</f>
        <v/>
      </c>
      <c r="K37" s="74">
        <f>IF(AND(('Monthly Activity Log'!C36&lt;&gt;""),(OR($B$3="All",'Monthly Activity Log'!C36=$B$3)),(OR($E$3="All",'Monthly Activity Log'!B36=$E$3))),'Monthly Activity Log'!K36,"")</f>
        <v/>
      </c>
    </row>
    <row r="38" ht="15.75" customHeight="1" s="65">
      <c r="A38" s="69">
        <f>IF(AND(('Monthly Activity Log'!C37&lt;&gt;""),(OR($B$3="All",'Monthly Activity Log'!C37=$B$3)),(OR($E$3="All",'Monthly Activity Log'!B37=$E$3))),ROW()-4,"")</f>
        <v/>
      </c>
      <c r="B38" s="70">
        <f>IF(AND(('Monthly Activity Log'!C37&lt;&gt;""),(OR($B$3="All",'Monthly Activity Log'!C37=$B$3)),(OR($E$3="All",'Monthly Activity Log'!B37=$E$3))),'Monthly Activity Log'!B37,"")</f>
        <v/>
      </c>
      <c r="C38" s="70">
        <f>IF(AND(('Monthly Activity Log'!C37&lt;&gt;""),(OR($B$3="All",'Monthly Activity Log'!C37=$B$3)),(OR($E$3="All",'Monthly Activity Log'!B37=$E$3))),'Monthly Activity Log'!C37,"")</f>
        <v/>
      </c>
      <c r="D38" s="70">
        <f>IF(AND(('Monthly Activity Log'!C37&lt;&gt;""),(OR($B$3="All",'Monthly Activity Log'!C37=$B$3)),(OR($E$3="All",'Monthly Activity Log'!B37=$E$3))),'Monthly Activity Log'!D37,"")</f>
        <v/>
      </c>
      <c r="E38" s="70">
        <f>IF(AND(('Monthly Activity Log'!C37&lt;&gt;""),(OR($B$3="All",'Monthly Activity Log'!C37=$B$3)),(OR($E$3="All",'Monthly Activity Log'!B37=$E$3))),'Monthly Activity Log'!E37,"")</f>
        <v/>
      </c>
      <c r="F38" s="70">
        <f>IF(AND(('Monthly Activity Log'!C37&lt;&gt;""),(OR($B$3="All",'Monthly Activity Log'!C37=$B$3)),(OR($E$3="All",'Monthly Activity Log'!B37=$E$3))),'Monthly Activity Log'!F37,"")</f>
        <v/>
      </c>
      <c r="G38" s="70">
        <f>IF(AND(('Monthly Activity Log'!C37&lt;&gt;""),(OR($B$3="All",'Monthly Activity Log'!C37=$B$3)),(OR($E$3="All",'Monthly Activity Log'!B37=$E$3))),'Monthly Activity Log'!G37,"")</f>
        <v/>
      </c>
      <c r="H38" s="70">
        <f>IF(AND(('Monthly Activity Log'!C37&lt;&gt;""),(OR($B$3="All",'Monthly Activity Log'!C37=$B$3)),(OR($E$3="All",'Monthly Activity Log'!B37=$E$3))),'Monthly Activity Log'!H37,"")</f>
        <v/>
      </c>
      <c r="I38" s="70">
        <f>IF(AND(('Monthly Activity Log'!C37&lt;&gt;""),(OR($B$3="All",'Monthly Activity Log'!C37=$B$3)),(OR($E$3="All",'Monthly Activity Log'!B37=$E$3))),'Monthly Activity Log'!I37,"")</f>
        <v/>
      </c>
      <c r="J38" s="70">
        <f>IF(AND(('Monthly Activity Log'!C37&lt;&gt;""),(OR($B$3="All",'Monthly Activity Log'!C37=$B$3)),(OR($E$3="All",'Monthly Activity Log'!B37=$E$3))),'Monthly Activity Log'!J37,"")</f>
        <v/>
      </c>
      <c r="K38" s="70">
        <f>IF(AND(('Monthly Activity Log'!C37&lt;&gt;""),(OR($B$3="All",'Monthly Activity Log'!C37=$B$3)),(OR($E$3="All",'Monthly Activity Log'!B37=$E$3))),'Monthly Activity Log'!K37,"")</f>
        <v/>
      </c>
    </row>
    <row r="39" ht="15.75" customHeight="1" s="65">
      <c r="A39" s="73">
        <f>IF(AND(('Monthly Activity Log'!C38&lt;&gt;""),(OR($B$3="All",'Monthly Activity Log'!C38=$B$3)),(OR($E$3="All",'Monthly Activity Log'!B38=$E$3))),ROW()-4,"")</f>
        <v/>
      </c>
      <c r="B39" s="74">
        <f>IF(AND(('Monthly Activity Log'!C38&lt;&gt;""),(OR($B$3="All",'Monthly Activity Log'!C38=$B$3)),(OR($E$3="All",'Monthly Activity Log'!B38=$E$3))),'Monthly Activity Log'!B38,"")</f>
        <v/>
      </c>
      <c r="C39" s="74">
        <f>IF(AND(('Monthly Activity Log'!C38&lt;&gt;""),(OR($B$3="All",'Monthly Activity Log'!C38=$B$3)),(OR($E$3="All",'Monthly Activity Log'!B38=$E$3))),'Monthly Activity Log'!C38,"")</f>
        <v/>
      </c>
      <c r="D39" s="74">
        <f>IF(AND(('Monthly Activity Log'!C38&lt;&gt;""),(OR($B$3="All",'Monthly Activity Log'!C38=$B$3)),(OR($E$3="All",'Monthly Activity Log'!B38=$E$3))),'Monthly Activity Log'!D38,"")</f>
        <v/>
      </c>
      <c r="E39" s="74">
        <f>IF(AND(('Monthly Activity Log'!C38&lt;&gt;""),(OR($B$3="All",'Monthly Activity Log'!C38=$B$3)),(OR($E$3="All",'Monthly Activity Log'!B38=$E$3))),'Monthly Activity Log'!E38,"")</f>
        <v/>
      </c>
      <c r="F39" s="74">
        <f>IF(AND(('Monthly Activity Log'!C38&lt;&gt;""),(OR($B$3="All",'Monthly Activity Log'!C38=$B$3)),(OR($E$3="All",'Monthly Activity Log'!B38=$E$3))),'Monthly Activity Log'!F38,"")</f>
        <v/>
      </c>
      <c r="G39" s="74">
        <f>IF(AND(('Monthly Activity Log'!C38&lt;&gt;""),(OR($B$3="All",'Monthly Activity Log'!C38=$B$3)),(OR($E$3="All",'Monthly Activity Log'!B38=$E$3))),'Monthly Activity Log'!G38,"")</f>
        <v/>
      </c>
      <c r="H39" s="74">
        <f>IF(AND(('Monthly Activity Log'!C38&lt;&gt;""),(OR($B$3="All",'Monthly Activity Log'!C38=$B$3)),(OR($E$3="All",'Monthly Activity Log'!B38=$E$3))),'Monthly Activity Log'!H38,"")</f>
        <v/>
      </c>
      <c r="I39" s="74">
        <f>IF(AND(('Monthly Activity Log'!C38&lt;&gt;""),(OR($B$3="All",'Monthly Activity Log'!C38=$B$3)),(OR($E$3="All",'Monthly Activity Log'!B38=$E$3))),'Monthly Activity Log'!I38,"")</f>
        <v/>
      </c>
      <c r="J39" s="74">
        <f>IF(AND(('Monthly Activity Log'!C38&lt;&gt;""),(OR($B$3="All",'Monthly Activity Log'!C38=$B$3)),(OR($E$3="All",'Monthly Activity Log'!B38=$E$3))),'Monthly Activity Log'!J38,"")</f>
        <v/>
      </c>
      <c r="K39" s="74">
        <f>IF(AND(('Monthly Activity Log'!C38&lt;&gt;""),(OR($B$3="All",'Monthly Activity Log'!C38=$B$3)),(OR($E$3="All",'Monthly Activity Log'!B38=$E$3))),'Monthly Activity Log'!K38,"")</f>
        <v/>
      </c>
    </row>
    <row r="40" ht="15.75" customHeight="1" s="65">
      <c r="A40" s="69">
        <f>IF(AND(('Monthly Activity Log'!C39&lt;&gt;""),(OR($B$3="All",'Monthly Activity Log'!C39=$B$3)),(OR($E$3="All",'Monthly Activity Log'!B39=$E$3))),ROW()-4,"")</f>
        <v/>
      </c>
      <c r="B40" s="70">
        <f>IF(AND(('Monthly Activity Log'!C39&lt;&gt;""),(OR($B$3="All",'Monthly Activity Log'!C39=$B$3)),(OR($E$3="All",'Monthly Activity Log'!B39=$E$3))),'Monthly Activity Log'!B39,"")</f>
        <v/>
      </c>
      <c r="C40" s="70">
        <f>IF(AND(('Monthly Activity Log'!C39&lt;&gt;""),(OR($B$3="All",'Monthly Activity Log'!C39=$B$3)),(OR($E$3="All",'Monthly Activity Log'!B39=$E$3))),'Monthly Activity Log'!C39,"")</f>
        <v/>
      </c>
      <c r="D40" s="70">
        <f>IF(AND(('Monthly Activity Log'!C39&lt;&gt;""),(OR($B$3="All",'Monthly Activity Log'!C39=$B$3)),(OR($E$3="All",'Monthly Activity Log'!B39=$E$3))),'Monthly Activity Log'!D39,"")</f>
        <v/>
      </c>
      <c r="E40" s="70">
        <f>IF(AND(('Monthly Activity Log'!C39&lt;&gt;""),(OR($B$3="All",'Monthly Activity Log'!C39=$B$3)),(OR($E$3="All",'Monthly Activity Log'!B39=$E$3))),'Monthly Activity Log'!E39,"")</f>
        <v/>
      </c>
      <c r="F40" s="70">
        <f>IF(AND(('Monthly Activity Log'!C39&lt;&gt;""),(OR($B$3="All",'Monthly Activity Log'!C39=$B$3)),(OR($E$3="All",'Monthly Activity Log'!B39=$E$3))),'Monthly Activity Log'!F39,"")</f>
        <v/>
      </c>
      <c r="G40" s="70">
        <f>IF(AND(('Monthly Activity Log'!C39&lt;&gt;""),(OR($B$3="All",'Monthly Activity Log'!C39=$B$3)),(OR($E$3="All",'Monthly Activity Log'!B39=$E$3))),'Monthly Activity Log'!G39,"")</f>
        <v/>
      </c>
      <c r="H40" s="70">
        <f>IF(AND(('Monthly Activity Log'!C39&lt;&gt;""),(OR($B$3="All",'Monthly Activity Log'!C39=$B$3)),(OR($E$3="All",'Monthly Activity Log'!B39=$E$3))),'Monthly Activity Log'!H39,"")</f>
        <v/>
      </c>
      <c r="I40" s="70">
        <f>IF(AND(('Monthly Activity Log'!C39&lt;&gt;""),(OR($B$3="All",'Monthly Activity Log'!C39=$B$3)),(OR($E$3="All",'Monthly Activity Log'!B39=$E$3))),'Monthly Activity Log'!I39,"")</f>
        <v/>
      </c>
      <c r="J40" s="70">
        <f>IF(AND(('Monthly Activity Log'!C39&lt;&gt;""),(OR($B$3="All",'Monthly Activity Log'!C39=$B$3)),(OR($E$3="All",'Monthly Activity Log'!B39=$E$3))),'Monthly Activity Log'!J39,"")</f>
        <v/>
      </c>
      <c r="K40" s="70">
        <f>IF(AND(('Monthly Activity Log'!C39&lt;&gt;""),(OR($B$3="All",'Monthly Activity Log'!C39=$B$3)),(OR($E$3="All",'Monthly Activity Log'!B39=$E$3))),'Monthly Activity Log'!K39,"")</f>
        <v/>
      </c>
    </row>
    <row r="41" ht="15.75" customHeight="1" s="65">
      <c r="A41" s="73">
        <f>IF(AND(('Monthly Activity Log'!C40&lt;&gt;""),(OR($B$3="All",'Monthly Activity Log'!C40=$B$3)),(OR($E$3="All",'Monthly Activity Log'!B40=$E$3))),ROW()-4,"")</f>
        <v/>
      </c>
      <c r="B41" s="74">
        <f>IF(AND(('Monthly Activity Log'!C40&lt;&gt;""),(OR($B$3="All",'Monthly Activity Log'!C40=$B$3)),(OR($E$3="All",'Monthly Activity Log'!B40=$E$3))),'Monthly Activity Log'!B40,"")</f>
        <v/>
      </c>
      <c r="C41" s="74">
        <f>IF(AND(('Monthly Activity Log'!C40&lt;&gt;""),(OR($B$3="All",'Monthly Activity Log'!C40=$B$3)),(OR($E$3="All",'Monthly Activity Log'!B40=$E$3))),'Monthly Activity Log'!C40,"")</f>
        <v/>
      </c>
      <c r="D41" s="74">
        <f>IF(AND(('Monthly Activity Log'!C40&lt;&gt;""),(OR($B$3="All",'Monthly Activity Log'!C40=$B$3)),(OR($E$3="All",'Monthly Activity Log'!B40=$E$3))),'Monthly Activity Log'!D40,"")</f>
        <v/>
      </c>
      <c r="E41" s="74">
        <f>IF(AND(('Monthly Activity Log'!C40&lt;&gt;""),(OR($B$3="All",'Monthly Activity Log'!C40=$B$3)),(OR($E$3="All",'Monthly Activity Log'!B40=$E$3))),'Monthly Activity Log'!E40,"")</f>
        <v/>
      </c>
      <c r="F41" s="74">
        <f>IF(AND(('Monthly Activity Log'!C40&lt;&gt;""),(OR($B$3="All",'Monthly Activity Log'!C40=$B$3)),(OR($E$3="All",'Monthly Activity Log'!B40=$E$3))),'Monthly Activity Log'!F40,"")</f>
        <v/>
      </c>
      <c r="G41" s="74">
        <f>IF(AND(('Monthly Activity Log'!C40&lt;&gt;""),(OR($B$3="All",'Monthly Activity Log'!C40=$B$3)),(OR($E$3="All",'Monthly Activity Log'!B40=$E$3))),'Monthly Activity Log'!G40,"")</f>
        <v/>
      </c>
      <c r="H41" s="74">
        <f>IF(AND(('Monthly Activity Log'!C40&lt;&gt;""),(OR($B$3="All",'Monthly Activity Log'!C40=$B$3)),(OR($E$3="All",'Monthly Activity Log'!B40=$E$3))),'Monthly Activity Log'!H40,"")</f>
        <v/>
      </c>
      <c r="I41" s="74">
        <f>IF(AND(('Monthly Activity Log'!C40&lt;&gt;""),(OR($B$3="All",'Monthly Activity Log'!C40=$B$3)),(OR($E$3="All",'Monthly Activity Log'!B40=$E$3))),'Monthly Activity Log'!I40,"")</f>
        <v/>
      </c>
      <c r="J41" s="74">
        <f>IF(AND(('Monthly Activity Log'!C40&lt;&gt;""),(OR($B$3="All",'Monthly Activity Log'!C40=$B$3)),(OR($E$3="All",'Monthly Activity Log'!B40=$E$3))),'Monthly Activity Log'!J40,"")</f>
        <v/>
      </c>
      <c r="K41" s="74">
        <f>IF(AND(('Monthly Activity Log'!C40&lt;&gt;""),(OR($B$3="All",'Monthly Activity Log'!C40=$B$3)),(OR($E$3="All",'Monthly Activity Log'!B40=$E$3))),'Monthly Activity Log'!K40,"")</f>
        <v/>
      </c>
    </row>
    <row r="42" ht="15.75" customHeight="1" s="65">
      <c r="A42" s="69">
        <f>IF(AND(('Monthly Activity Log'!C41&lt;&gt;""),(OR($B$3="All",'Monthly Activity Log'!C41=$B$3)),(OR($E$3="All",'Monthly Activity Log'!B41=$E$3))),ROW()-4,"")</f>
        <v/>
      </c>
      <c r="B42" s="70">
        <f>IF(AND(('Monthly Activity Log'!C41&lt;&gt;""),(OR($B$3="All",'Monthly Activity Log'!C41=$B$3)),(OR($E$3="All",'Monthly Activity Log'!B41=$E$3))),'Monthly Activity Log'!B41,"")</f>
        <v/>
      </c>
      <c r="C42" s="70">
        <f>IF(AND(('Monthly Activity Log'!C41&lt;&gt;""),(OR($B$3="All",'Monthly Activity Log'!C41=$B$3)),(OR($E$3="All",'Monthly Activity Log'!B41=$E$3))),'Monthly Activity Log'!C41,"")</f>
        <v/>
      </c>
      <c r="D42" s="70">
        <f>IF(AND(('Monthly Activity Log'!C41&lt;&gt;""),(OR($B$3="All",'Monthly Activity Log'!C41=$B$3)),(OR($E$3="All",'Monthly Activity Log'!B41=$E$3))),'Monthly Activity Log'!D41,"")</f>
        <v/>
      </c>
      <c r="E42" s="70">
        <f>IF(AND(('Monthly Activity Log'!C41&lt;&gt;""),(OR($B$3="All",'Monthly Activity Log'!C41=$B$3)),(OR($E$3="All",'Monthly Activity Log'!B41=$E$3))),'Monthly Activity Log'!E41,"")</f>
        <v/>
      </c>
      <c r="F42" s="70">
        <f>IF(AND(('Monthly Activity Log'!C41&lt;&gt;""),(OR($B$3="All",'Monthly Activity Log'!C41=$B$3)),(OR($E$3="All",'Monthly Activity Log'!B41=$E$3))),'Monthly Activity Log'!F41,"")</f>
        <v/>
      </c>
      <c r="G42" s="70">
        <f>IF(AND(('Monthly Activity Log'!C41&lt;&gt;""),(OR($B$3="All",'Monthly Activity Log'!C41=$B$3)),(OR($E$3="All",'Monthly Activity Log'!B41=$E$3))),'Monthly Activity Log'!G41,"")</f>
        <v/>
      </c>
      <c r="H42" s="70">
        <f>IF(AND(('Monthly Activity Log'!C41&lt;&gt;""),(OR($B$3="All",'Monthly Activity Log'!C41=$B$3)),(OR($E$3="All",'Monthly Activity Log'!B41=$E$3))),'Monthly Activity Log'!H41,"")</f>
        <v/>
      </c>
      <c r="I42" s="70">
        <f>IF(AND(('Monthly Activity Log'!C41&lt;&gt;""),(OR($B$3="All",'Monthly Activity Log'!C41=$B$3)),(OR($E$3="All",'Monthly Activity Log'!B41=$E$3))),'Monthly Activity Log'!I41,"")</f>
        <v/>
      </c>
      <c r="J42" s="70">
        <f>IF(AND(('Monthly Activity Log'!C41&lt;&gt;""),(OR($B$3="All",'Monthly Activity Log'!C41=$B$3)),(OR($E$3="All",'Monthly Activity Log'!B41=$E$3))),'Monthly Activity Log'!J41,"")</f>
        <v/>
      </c>
      <c r="K42" s="70">
        <f>IF(AND(('Monthly Activity Log'!C41&lt;&gt;""),(OR($B$3="All",'Monthly Activity Log'!C41=$B$3)),(OR($E$3="All",'Monthly Activity Log'!B41=$E$3))),'Monthly Activity Log'!K41,"")</f>
        <v/>
      </c>
    </row>
    <row r="43" ht="15.75" customHeight="1" s="65">
      <c r="A43" s="73">
        <f>IF(AND(('Monthly Activity Log'!C42&lt;&gt;""),(OR($B$3="All",'Monthly Activity Log'!C42=$B$3)),(OR($E$3="All",'Monthly Activity Log'!B42=$E$3))),ROW()-4,"")</f>
        <v/>
      </c>
      <c r="B43" s="74">
        <f>IF(AND(('Monthly Activity Log'!C42&lt;&gt;""),(OR($B$3="All",'Monthly Activity Log'!C42=$B$3)),(OR($E$3="All",'Monthly Activity Log'!B42=$E$3))),'Monthly Activity Log'!B42,"")</f>
        <v/>
      </c>
      <c r="C43" s="74">
        <f>IF(AND(('Monthly Activity Log'!C42&lt;&gt;""),(OR($B$3="All",'Monthly Activity Log'!C42=$B$3)),(OR($E$3="All",'Monthly Activity Log'!B42=$E$3))),'Monthly Activity Log'!C42,"")</f>
        <v/>
      </c>
      <c r="D43" s="74">
        <f>IF(AND(('Monthly Activity Log'!C42&lt;&gt;""),(OR($B$3="All",'Monthly Activity Log'!C42=$B$3)),(OR($E$3="All",'Monthly Activity Log'!B42=$E$3))),'Monthly Activity Log'!D42,"")</f>
        <v/>
      </c>
      <c r="E43" s="74">
        <f>IF(AND(('Monthly Activity Log'!C42&lt;&gt;""),(OR($B$3="All",'Monthly Activity Log'!C42=$B$3)),(OR($E$3="All",'Monthly Activity Log'!B42=$E$3))),'Monthly Activity Log'!E42,"")</f>
        <v/>
      </c>
      <c r="F43" s="74">
        <f>IF(AND(('Monthly Activity Log'!C42&lt;&gt;""),(OR($B$3="All",'Monthly Activity Log'!C42=$B$3)),(OR($E$3="All",'Monthly Activity Log'!B42=$E$3))),'Monthly Activity Log'!F42,"")</f>
        <v/>
      </c>
      <c r="G43" s="74">
        <f>IF(AND(('Monthly Activity Log'!C42&lt;&gt;""),(OR($B$3="All",'Monthly Activity Log'!C42=$B$3)),(OR($E$3="All",'Monthly Activity Log'!B42=$E$3))),'Monthly Activity Log'!G42,"")</f>
        <v/>
      </c>
      <c r="H43" s="74">
        <f>IF(AND(('Monthly Activity Log'!C42&lt;&gt;""),(OR($B$3="All",'Monthly Activity Log'!C42=$B$3)),(OR($E$3="All",'Monthly Activity Log'!B42=$E$3))),'Monthly Activity Log'!H42,"")</f>
        <v/>
      </c>
      <c r="I43" s="74">
        <f>IF(AND(('Monthly Activity Log'!C42&lt;&gt;""),(OR($B$3="All",'Monthly Activity Log'!C42=$B$3)),(OR($E$3="All",'Monthly Activity Log'!B42=$E$3))),'Monthly Activity Log'!I42,"")</f>
        <v/>
      </c>
      <c r="J43" s="74">
        <f>IF(AND(('Monthly Activity Log'!C42&lt;&gt;""),(OR($B$3="All",'Monthly Activity Log'!C42=$B$3)),(OR($E$3="All",'Monthly Activity Log'!B42=$E$3))),'Monthly Activity Log'!J42,"")</f>
        <v/>
      </c>
      <c r="K43" s="74">
        <f>IF(AND(('Monthly Activity Log'!C42&lt;&gt;""),(OR($B$3="All",'Monthly Activity Log'!C42=$B$3)),(OR($E$3="All",'Monthly Activity Log'!B42=$E$3))),'Monthly Activity Log'!K42,"")</f>
        <v/>
      </c>
    </row>
    <row r="44" ht="15.75" customHeight="1" s="65">
      <c r="A44" s="69">
        <f>IF(AND(('Monthly Activity Log'!C43&lt;&gt;""),(OR($B$3="All",'Monthly Activity Log'!C43=$B$3)),(OR($E$3="All",'Monthly Activity Log'!B43=$E$3))),ROW()-4,"")</f>
        <v/>
      </c>
      <c r="B44" s="70">
        <f>IF(AND(('Monthly Activity Log'!C43&lt;&gt;""),(OR($B$3="All",'Monthly Activity Log'!C43=$B$3)),(OR($E$3="All",'Monthly Activity Log'!B43=$E$3))),'Monthly Activity Log'!B43,"")</f>
        <v/>
      </c>
      <c r="C44" s="70">
        <f>IF(AND(('Monthly Activity Log'!C43&lt;&gt;""),(OR($B$3="All",'Monthly Activity Log'!C43=$B$3)),(OR($E$3="All",'Monthly Activity Log'!B43=$E$3))),'Monthly Activity Log'!C43,"")</f>
        <v/>
      </c>
      <c r="D44" s="70">
        <f>IF(AND(('Monthly Activity Log'!C43&lt;&gt;""),(OR($B$3="All",'Monthly Activity Log'!C43=$B$3)),(OR($E$3="All",'Monthly Activity Log'!B43=$E$3))),'Monthly Activity Log'!D43,"")</f>
        <v/>
      </c>
      <c r="E44" s="70">
        <f>IF(AND(('Monthly Activity Log'!C43&lt;&gt;""),(OR($B$3="All",'Monthly Activity Log'!C43=$B$3)),(OR($E$3="All",'Monthly Activity Log'!B43=$E$3))),'Monthly Activity Log'!E43,"")</f>
        <v/>
      </c>
      <c r="F44" s="70">
        <f>IF(AND(('Monthly Activity Log'!C43&lt;&gt;""),(OR($B$3="All",'Monthly Activity Log'!C43=$B$3)),(OR($E$3="All",'Monthly Activity Log'!B43=$E$3))),'Monthly Activity Log'!F43,"")</f>
        <v/>
      </c>
      <c r="G44" s="70">
        <f>IF(AND(('Monthly Activity Log'!C43&lt;&gt;""),(OR($B$3="All",'Monthly Activity Log'!C43=$B$3)),(OR($E$3="All",'Monthly Activity Log'!B43=$E$3))),'Monthly Activity Log'!G43,"")</f>
        <v/>
      </c>
      <c r="H44" s="70">
        <f>IF(AND(('Monthly Activity Log'!C43&lt;&gt;""),(OR($B$3="All",'Monthly Activity Log'!C43=$B$3)),(OR($E$3="All",'Monthly Activity Log'!B43=$E$3))),'Monthly Activity Log'!H43,"")</f>
        <v/>
      </c>
      <c r="I44" s="70">
        <f>IF(AND(('Monthly Activity Log'!C43&lt;&gt;""),(OR($B$3="All",'Monthly Activity Log'!C43=$B$3)),(OR($E$3="All",'Monthly Activity Log'!B43=$E$3))),'Monthly Activity Log'!I43,"")</f>
        <v/>
      </c>
      <c r="J44" s="70">
        <f>IF(AND(('Monthly Activity Log'!C43&lt;&gt;""),(OR($B$3="All",'Monthly Activity Log'!C43=$B$3)),(OR($E$3="All",'Monthly Activity Log'!B43=$E$3))),'Monthly Activity Log'!J43,"")</f>
        <v/>
      </c>
      <c r="K44" s="70">
        <f>IF(AND(('Monthly Activity Log'!C43&lt;&gt;""),(OR($B$3="All",'Monthly Activity Log'!C43=$B$3)),(OR($E$3="All",'Monthly Activity Log'!B43=$E$3))),'Monthly Activity Log'!K43,"")</f>
        <v/>
      </c>
    </row>
    <row r="45" ht="15.75" customHeight="1" s="65">
      <c r="A45" s="73">
        <f>IF(AND(('Monthly Activity Log'!C44&lt;&gt;""),(OR($B$3="All",'Monthly Activity Log'!C44=$B$3)),(OR($E$3="All",'Monthly Activity Log'!B44=$E$3))),ROW()-4,"")</f>
        <v/>
      </c>
      <c r="B45" s="74">
        <f>IF(AND(('Monthly Activity Log'!C44&lt;&gt;""),(OR($B$3="All",'Monthly Activity Log'!C44=$B$3)),(OR($E$3="All",'Monthly Activity Log'!B44=$E$3))),'Monthly Activity Log'!B44,"")</f>
        <v/>
      </c>
      <c r="C45" s="74">
        <f>IF(AND(('Monthly Activity Log'!C44&lt;&gt;""),(OR($B$3="All",'Monthly Activity Log'!C44=$B$3)),(OR($E$3="All",'Monthly Activity Log'!B44=$E$3))),'Monthly Activity Log'!C44,"")</f>
        <v/>
      </c>
      <c r="D45" s="74">
        <f>IF(AND(('Monthly Activity Log'!C44&lt;&gt;""),(OR($B$3="All",'Monthly Activity Log'!C44=$B$3)),(OR($E$3="All",'Monthly Activity Log'!B44=$E$3))),'Monthly Activity Log'!D44,"")</f>
        <v/>
      </c>
      <c r="E45" s="74">
        <f>IF(AND(('Monthly Activity Log'!C44&lt;&gt;""),(OR($B$3="All",'Monthly Activity Log'!C44=$B$3)),(OR($E$3="All",'Monthly Activity Log'!B44=$E$3))),'Monthly Activity Log'!E44,"")</f>
        <v/>
      </c>
      <c r="F45" s="74">
        <f>IF(AND(('Monthly Activity Log'!C44&lt;&gt;""),(OR($B$3="All",'Monthly Activity Log'!C44=$B$3)),(OR($E$3="All",'Monthly Activity Log'!B44=$E$3))),'Monthly Activity Log'!F44,"")</f>
        <v/>
      </c>
      <c r="G45" s="74">
        <f>IF(AND(('Monthly Activity Log'!C44&lt;&gt;""),(OR($B$3="All",'Monthly Activity Log'!C44=$B$3)),(OR($E$3="All",'Monthly Activity Log'!B44=$E$3))),'Monthly Activity Log'!G44,"")</f>
        <v/>
      </c>
      <c r="H45" s="74">
        <f>IF(AND(('Monthly Activity Log'!C44&lt;&gt;""),(OR($B$3="All",'Monthly Activity Log'!C44=$B$3)),(OR($E$3="All",'Monthly Activity Log'!B44=$E$3))),'Monthly Activity Log'!H44,"")</f>
        <v/>
      </c>
      <c r="I45" s="74">
        <f>IF(AND(('Monthly Activity Log'!C44&lt;&gt;""),(OR($B$3="All",'Monthly Activity Log'!C44=$B$3)),(OR($E$3="All",'Monthly Activity Log'!B44=$E$3))),'Monthly Activity Log'!I44,"")</f>
        <v/>
      </c>
      <c r="J45" s="74">
        <f>IF(AND(('Monthly Activity Log'!C44&lt;&gt;""),(OR($B$3="All",'Monthly Activity Log'!C44=$B$3)),(OR($E$3="All",'Monthly Activity Log'!B44=$E$3))),'Monthly Activity Log'!J44,"")</f>
        <v/>
      </c>
      <c r="K45" s="74">
        <f>IF(AND(('Monthly Activity Log'!C44&lt;&gt;""),(OR($B$3="All",'Monthly Activity Log'!C44=$B$3)),(OR($E$3="All",'Monthly Activity Log'!B44=$E$3))),'Monthly Activity Log'!K44,"")</f>
        <v/>
      </c>
    </row>
    <row r="46" ht="15.75" customHeight="1" s="65">
      <c r="A46" s="69">
        <f>IF(AND(('Monthly Activity Log'!C45&lt;&gt;""),(OR($B$3="All",'Monthly Activity Log'!C45=$B$3)),(OR($E$3="All",'Monthly Activity Log'!B45=$E$3))),ROW()-4,"")</f>
        <v/>
      </c>
      <c r="B46" s="70">
        <f>IF(AND(('Monthly Activity Log'!C45&lt;&gt;""),(OR($B$3="All",'Monthly Activity Log'!C45=$B$3)),(OR($E$3="All",'Monthly Activity Log'!B45=$E$3))),'Monthly Activity Log'!B45,"")</f>
        <v/>
      </c>
      <c r="C46" s="70">
        <f>IF(AND(('Monthly Activity Log'!C45&lt;&gt;""),(OR($B$3="All",'Monthly Activity Log'!C45=$B$3)),(OR($E$3="All",'Monthly Activity Log'!B45=$E$3))),'Monthly Activity Log'!C45,"")</f>
        <v/>
      </c>
      <c r="D46" s="70">
        <f>IF(AND(('Monthly Activity Log'!C45&lt;&gt;""),(OR($B$3="All",'Monthly Activity Log'!C45=$B$3)),(OR($E$3="All",'Monthly Activity Log'!B45=$E$3))),'Monthly Activity Log'!D45,"")</f>
        <v/>
      </c>
      <c r="E46" s="70">
        <f>IF(AND(('Monthly Activity Log'!C45&lt;&gt;""),(OR($B$3="All",'Monthly Activity Log'!C45=$B$3)),(OR($E$3="All",'Monthly Activity Log'!B45=$E$3))),'Monthly Activity Log'!E45,"")</f>
        <v/>
      </c>
      <c r="F46" s="70">
        <f>IF(AND(('Monthly Activity Log'!C45&lt;&gt;""),(OR($B$3="All",'Monthly Activity Log'!C45=$B$3)),(OR($E$3="All",'Monthly Activity Log'!B45=$E$3))),'Monthly Activity Log'!F45,"")</f>
        <v/>
      </c>
      <c r="G46" s="70">
        <f>IF(AND(('Monthly Activity Log'!C45&lt;&gt;""),(OR($B$3="All",'Monthly Activity Log'!C45=$B$3)),(OR($E$3="All",'Monthly Activity Log'!B45=$E$3))),'Monthly Activity Log'!G45,"")</f>
        <v/>
      </c>
      <c r="H46" s="70">
        <f>IF(AND(('Monthly Activity Log'!C45&lt;&gt;""),(OR($B$3="All",'Monthly Activity Log'!C45=$B$3)),(OR($E$3="All",'Monthly Activity Log'!B45=$E$3))),'Monthly Activity Log'!H45,"")</f>
        <v/>
      </c>
      <c r="I46" s="70">
        <f>IF(AND(('Monthly Activity Log'!C45&lt;&gt;""),(OR($B$3="All",'Monthly Activity Log'!C45=$B$3)),(OR($E$3="All",'Monthly Activity Log'!B45=$E$3))),'Monthly Activity Log'!I45,"")</f>
        <v/>
      </c>
      <c r="J46" s="70">
        <f>IF(AND(('Monthly Activity Log'!C45&lt;&gt;""),(OR($B$3="All",'Monthly Activity Log'!C45=$B$3)),(OR($E$3="All",'Monthly Activity Log'!B45=$E$3))),'Monthly Activity Log'!J45,"")</f>
        <v/>
      </c>
      <c r="K46" s="70">
        <f>IF(AND(('Monthly Activity Log'!C45&lt;&gt;""),(OR($B$3="All",'Monthly Activity Log'!C45=$B$3)),(OR($E$3="All",'Monthly Activity Log'!B45=$E$3))),'Monthly Activity Log'!K45,"")</f>
        <v/>
      </c>
    </row>
    <row r="47" ht="15.75" customHeight="1" s="65">
      <c r="A47" s="73">
        <f>IF(AND(('Monthly Activity Log'!C46&lt;&gt;""),(OR($B$3="All",'Monthly Activity Log'!C46=$B$3)),(OR($E$3="All",'Monthly Activity Log'!B46=$E$3))),ROW()-4,"")</f>
        <v/>
      </c>
      <c r="B47" s="74">
        <f>IF(AND(('Monthly Activity Log'!C46&lt;&gt;""),(OR($B$3="All",'Monthly Activity Log'!C46=$B$3)),(OR($E$3="All",'Monthly Activity Log'!B46=$E$3))),'Monthly Activity Log'!B46,"")</f>
        <v/>
      </c>
      <c r="C47" s="74">
        <f>IF(AND(('Monthly Activity Log'!C46&lt;&gt;""),(OR($B$3="All",'Monthly Activity Log'!C46=$B$3)),(OR($E$3="All",'Monthly Activity Log'!B46=$E$3))),'Monthly Activity Log'!C46,"")</f>
        <v/>
      </c>
      <c r="D47" s="74">
        <f>IF(AND(('Monthly Activity Log'!C46&lt;&gt;""),(OR($B$3="All",'Monthly Activity Log'!C46=$B$3)),(OR($E$3="All",'Monthly Activity Log'!B46=$E$3))),'Monthly Activity Log'!D46,"")</f>
        <v/>
      </c>
      <c r="E47" s="74">
        <f>IF(AND(('Monthly Activity Log'!C46&lt;&gt;""),(OR($B$3="All",'Monthly Activity Log'!C46=$B$3)),(OR($E$3="All",'Monthly Activity Log'!B46=$E$3))),'Monthly Activity Log'!E46,"")</f>
        <v/>
      </c>
      <c r="F47" s="74">
        <f>IF(AND(('Monthly Activity Log'!C46&lt;&gt;""),(OR($B$3="All",'Monthly Activity Log'!C46=$B$3)),(OR($E$3="All",'Monthly Activity Log'!B46=$E$3))),'Monthly Activity Log'!F46,"")</f>
        <v/>
      </c>
      <c r="G47" s="74">
        <f>IF(AND(('Monthly Activity Log'!C46&lt;&gt;""),(OR($B$3="All",'Monthly Activity Log'!C46=$B$3)),(OR($E$3="All",'Monthly Activity Log'!B46=$E$3))),'Monthly Activity Log'!G46,"")</f>
        <v/>
      </c>
      <c r="H47" s="74">
        <f>IF(AND(('Monthly Activity Log'!C46&lt;&gt;""),(OR($B$3="All",'Monthly Activity Log'!C46=$B$3)),(OR($E$3="All",'Monthly Activity Log'!B46=$E$3))),'Monthly Activity Log'!H46,"")</f>
        <v/>
      </c>
      <c r="I47" s="74">
        <f>IF(AND(('Monthly Activity Log'!C46&lt;&gt;""),(OR($B$3="All",'Monthly Activity Log'!C46=$B$3)),(OR($E$3="All",'Monthly Activity Log'!B46=$E$3))),'Monthly Activity Log'!I46,"")</f>
        <v/>
      </c>
      <c r="J47" s="74">
        <f>IF(AND(('Monthly Activity Log'!C46&lt;&gt;""),(OR($B$3="All",'Monthly Activity Log'!C46=$B$3)),(OR($E$3="All",'Monthly Activity Log'!B46=$E$3))),'Monthly Activity Log'!J46,"")</f>
        <v/>
      </c>
      <c r="K47" s="74">
        <f>IF(AND(('Monthly Activity Log'!C46&lt;&gt;""),(OR($B$3="All",'Monthly Activity Log'!C46=$B$3)),(OR($E$3="All",'Monthly Activity Log'!B46=$E$3))),'Monthly Activity Log'!K46,"")</f>
        <v/>
      </c>
    </row>
    <row r="48" ht="15.75" customHeight="1" s="65">
      <c r="A48" s="69">
        <f>IF(AND(('Monthly Activity Log'!C47&lt;&gt;""),(OR($B$3="All",'Monthly Activity Log'!C47=$B$3)),(OR($E$3="All",'Monthly Activity Log'!B47=$E$3))),ROW()-4,"")</f>
        <v/>
      </c>
      <c r="B48" s="70">
        <f>IF(AND(('Monthly Activity Log'!C47&lt;&gt;""),(OR($B$3="All",'Monthly Activity Log'!C47=$B$3)),(OR($E$3="All",'Monthly Activity Log'!B47=$E$3))),'Monthly Activity Log'!B47,"")</f>
        <v/>
      </c>
      <c r="C48" s="70">
        <f>IF(AND(('Monthly Activity Log'!C47&lt;&gt;""),(OR($B$3="All",'Monthly Activity Log'!C47=$B$3)),(OR($E$3="All",'Monthly Activity Log'!B47=$E$3))),'Monthly Activity Log'!C47,"")</f>
        <v/>
      </c>
      <c r="D48" s="70">
        <f>IF(AND(('Monthly Activity Log'!C47&lt;&gt;""),(OR($B$3="All",'Monthly Activity Log'!C47=$B$3)),(OR($E$3="All",'Monthly Activity Log'!B47=$E$3))),'Monthly Activity Log'!D47,"")</f>
        <v/>
      </c>
      <c r="E48" s="70">
        <f>IF(AND(('Monthly Activity Log'!C47&lt;&gt;""),(OR($B$3="All",'Monthly Activity Log'!C47=$B$3)),(OR($E$3="All",'Monthly Activity Log'!B47=$E$3))),'Monthly Activity Log'!E47,"")</f>
        <v/>
      </c>
      <c r="F48" s="70">
        <f>IF(AND(('Monthly Activity Log'!C47&lt;&gt;""),(OR($B$3="All",'Monthly Activity Log'!C47=$B$3)),(OR($E$3="All",'Monthly Activity Log'!B47=$E$3))),'Monthly Activity Log'!F47,"")</f>
        <v/>
      </c>
      <c r="G48" s="70">
        <f>IF(AND(('Monthly Activity Log'!C47&lt;&gt;""),(OR($B$3="All",'Monthly Activity Log'!C47=$B$3)),(OR($E$3="All",'Monthly Activity Log'!B47=$E$3))),'Monthly Activity Log'!G47,"")</f>
        <v/>
      </c>
      <c r="H48" s="70">
        <f>IF(AND(('Monthly Activity Log'!C47&lt;&gt;""),(OR($B$3="All",'Monthly Activity Log'!C47=$B$3)),(OR($E$3="All",'Monthly Activity Log'!B47=$E$3))),'Monthly Activity Log'!H47,"")</f>
        <v/>
      </c>
      <c r="I48" s="70">
        <f>IF(AND(('Monthly Activity Log'!C47&lt;&gt;""),(OR($B$3="All",'Monthly Activity Log'!C47=$B$3)),(OR($E$3="All",'Monthly Activity Log'!B47=$E$3))),'Monthly Activity Log'!I47,"")</f>
        <v/>
      </c>
      <c r="J48" s="70">
        <f>IF(AND(('Monthly Activity Log'!C47&lt;&gt;""),(OR($B$3="All",'Monthly Activity Log'!C47=$B$3)),(OR($E$3="All",'Monthly Activity Log'!B47=$E$3))),'Monthly Activity Log'!J47,"")</f>
        <v/>
      </c>
      <c r="K48" s="70">
        <f>IF(AND(('Monthly Activity Log'!C47&lt;&gt;""),(OR($B$3="All",'Monthly Activity Log'!C47=$B$3)),(OR($E$3="All",'Monthly Activity Log'!B47=$E$3))),'Monthly Activity Log'!K47,"")</f>
        <v/>
      </c>
    </row>
    <row r="49" ht="15.75" customHeight="1" s="65">
      <c r="A49" s="73">
        <f>IF(AND(('Monthly Activity Log'!C48&lt;&gt;""),(OR($B$3="All",'Monthly Activity Log'!C48=$B$3)),(OR($E$3="All",'Monthly Activity Log'!B48=$E$3))),ROW()-4,"")</f>
        <v/>
      </c>
      <c r="B49" s="74">
        <f>IF(AND(('Monthly Activity Log'!C48&lt;&gt;""),(OR($B$3="All",'Monthly Activity Log'!C48=$B$3)),(OR($E$3="All",'Monthly Activity Log'!B48=$E$3))),'Monthly Activity Log'!B48,"")</f>
        <v/>
      </c>
      <c r="C49" s="74">
        <f>IF(AND(('Monthly Activity Log'!C48&lt;&gt;""),(OR($B$3="All",'Monthly Activity Log'!C48=$B$3)),(OR($E$3="All",'Monthly Activity Log'!B48=$E$3))),'Monthly Activity Log'!C48,"")</f>
        <v/>
      </c>
      <c r="D49" s="74">
        <f>IF(AND(('Monthly Activity Log'!C48&lt;&gt;""),(OR($B$3="All",'Monthly Activity Log'!C48=$B$3)),(OR($E$3="All",'Monthly Activity Log'!B48=$E$3))),'Monthly Activity Log'!D48,"")</f>
        <v/>
      </c>
      <c r="E49" s="74">
        <f>IF(AND(('Monthly Activity Log'!C48&lt;&gt;""),(OR($B$3="All",'Monthly Activity Log'!C48=$B$3)),(OR($E$3="All",'Monthly Activity Log'!B48=$E$3))),'Monthly Activity Log'!E48,"")</f>
        <v/>
      </c>
      <c r="F49" s="74">
        <f>IF(AND(('Monthly Activity Log'!C48&lt;&gt;""),(OR($B$3="All",'Monthly Activity Log'!C48=$B$3)),(OR($E$3="All",'Monthly Activity Log'!B48=$E$3))),'Monthly Activity Log'!F48,"")</f>
        <v/>
      </c>
      <c r="G49" s="74">
        <f>IF(AND(('Monthly Activity Log'!C48&lt;&gt;""),(OR($B$3="All",'Monthly Activity Log'!C48=$B$3)),(OR($E$3="All",'Monthly Activity Log'!B48=$E$3))),'Monthly Activity Log'!G48,"")</f>
        <v/>
      </c>
      <c r="H49" s="74">
        <f>IF(AND(('Monthly Activity Log'!C48&lt;&gt;""),(OR($B$3="All",'Monthly Activity Log'!C48=$B$3)),(OR($E$3="All",'Monthly Activity Log'!B48=$E$3))),'Monthly Activity Log'!H48,"")</f>
        <v/>
      </c>
      <c r="I49" s="74">
        <f>IF(AND(('Monthly Activity Log'!C48&lt;&gt;""),(OR($B$3="All",'Monthly Activity Log'!C48=$B$3)),(OR($E$3="All",'Monthly Activity Log'!B48=$E$3))),'Monthly Activity Log'!I48,"")</f>
        <v/>
      </c>
      <c r="J49" s="74">
        <f>IF(AND(('Monthly Activity Log'!C48&lt;&gt;""),(OR($B$3="All",'Monthly Activity Log'!C48=$B$3)),(OR($E$3="All",'Monthly Activity Log'!B48=$E$3))),'Monthly Activity Log'!J48,"")</f>
        <v/>
      </c>
      <c r="K49" s="74">
        <f>IF(AND(('Monthly Activity Log'!C48&lt;&gt;""),(OR($B$3="All",'Monthly Activity Log'!C48=$B$3)),(OR($E$3="All",'Monthly Activity Log'!B48=$E$3))),'Monthly Activity Log'!K48,"")</f>
        <v/>
      </c>
    </row>
    <row r="50" ht="15.75" customHeight="1" s="65">
      <c r="A50" s="69">
        <f>IF(AND(('Monthly Activity Log'!C49&lt;&gt;""),(OR($B$3="All",'Monthly Activity Log'!C49=$B$3)),(OR($E$3="All",'Monthly Activity Log'!B49=$E$3))),ROW()-4,"")</f>
        <v/>
      </c>
      <c r="B50" s="70">
        <f>IF(AND(('Monthly Activity Log'!C49&lt;&gt;""),(OR($B$3="All",'Monthly Activity Log'!C49=$B$3)),(OR($E$3="All",'Monthly Activity Log'!B49=$E$3))),'Monthly Activity Log'!B49,"")</f>
        <v/>
      </c>
      <c r="C50" s="70">
        <f>IF(AND(('Monthly Activity Log'!C49&lt;&gt;""),(OR($B$3="All",'Monthly Activity Log'!C49=$B$3)),(OR($E$3="All",'Monthly Activity Log'!B49=$E$3))),'Monthly Activity Log'!C49,"")</f>
        <v/>
      </c>
      <c r="D50" s="70">
        <f>IF(AND(('Monthly Activity Log'!C49&lt;&gt;""),(OR($B$3="All",'Monthly Activity Log'!C49=$B$3)),(OR($E$3="All",'Monthly Activity Log'!B49=$E$3))),'Monthly Activity Log'!D49,"")</f>
        <v/>
      </c>
      <c r="E50" s="70">
        <f>IF(AND(('Monthly Activity Log'!C49&lt;&gt;""),(OR($B$3="All",'Monthly Activity Log'!C49=$B$3)),(OR($E$3="All",'Monthly Activity Log'!B49=$E$3))),'Monthly Activity Log'!E49,"")</f>
        <v/>
      </c>
      <c r="F50" s="70">
        <f>IF(AND(('Monthly Activity Log'!C49&lt;&gt;""),(OR($B$3="All",'Monthly Activity Log'!C49=$B$3)),(OR($E$3="All",'Monthly Activity Log'!B49=$E$3))),'Monthly Activity Log'!F49,"")</f>
        <v/>
      </c>
      <c r="G50" s="70">
        <f>IF(AND(('Monthly Activity Log'!C49&lt;&gt;""),(OR($B$3="All",'Monthly Activity Log'!C49=$B$3)),(OR($E$3="All",'Monthly Activity Log'!B49=$E$3))),'Monthly Activity Log'!G49,"")</f>
        <v/>
      </c>
      <c r="H50" s="70">
        <f>IF(AND(('Monthly Activity Log'!C49&lt;&gt;""),(OR($B$3="All",'Monthly Activity Log'!C49=$B$3)),(OR($E$3="All",'Monthly Activity Log'!B49=$E$3))),'Monthly Activity Log'!H49,"")</f>
        <v/>
      </c>
      <c r="I50" s="70">
        <f>IF(AND(('Monthly Activity Log'!C49&lt;&gt;""),(OR($B$3="All",'Monthly Activity Log'!C49=$B$3)),(OR($E$3="All",'Monthly Activity Log'!B49=$E$3))),'Monthly Activity Log'!I49,"")</f>
        <v/>
      </c>
      <c r="J50" s="70">
        <f>IF(AND(('Monthly Activity Log'!C49&lt;&gt;""),(OR($B$3="All",'Monthly Activity Log'!C49=$B$3)),(OR($E$3="All",'Monthly Activity Log'!B49=$E$3))),'Monthly Activity Log'!J49,"")</f>
        <v/>
      </c>
      <c r="K50" s="70">
        <f>IF(AND(('Monthly Activity Log'!C49&lt;&gt;""),(OR($B$3="All",'Monthly Activity Log'!C49=$B$3)),(OR($E$3="All",'Monthly Activity Log'!B49=$E$3))),'Monthly Activity Log'!K49,"")</f>
        <v/>
      </c>
    </row>
    <row r="51" ht="15.75" customHeight="1" s="65">
      <c r="A51" s="73">
        <f>IF(AND(('Monthly Activity Log'!C50&lt;&gt;""),(OR($B$3="All",'Monthly Activity Log'!C50=$B$3)),(OR($E$3="All",'Monthly Activity Log'!B50=$E$3))),ROW()-4,"")</f>
        <v/>
      </c>
      <c r="B51" s="74">
        <f>IF(AND(('Monthly Activity Log'!C50&lt;&gt;""),(OR($B$3="All",'Monthly Activity Log'!C50=$B$3)),(OR($E$3="All",'Monthly Activity Log'!B50=$E$3))),'Monthly Activity Log'!B50,"")</f>
        <v/>
      </c>
      <c r="C51" s="74">
        <f>IF(AND(('Monthly Activity Log'!C50&lt;&gt;""),(OR($B$3="All",'Monthly Activity Log'!C50=$B$3)),(OR($E$3="All",'Monthly Activity Log'!B50=$E$3))),'Monthly Activity Log'!C50,"")</f>
        <v/>
      </c>
      <c r="D51" s="74">
        <f>IF(AND(('Monthly Activity Log'!C50&lt;&gt;""),(OR($B$3="All",'Monthly Activity Log'!C50=$B$3)),(OR($E$3="All",'Monthly Activity Log'!B50=$E$3))),'Monthly Activity Log'!D50,"")</f>
        <v/>
      </c>
      <c r="E51" s="74">
        <f>IF(AND(('Monthly Activity Log'!C50&lt;&gt;""),(OR($B$3="All",'Monthly Activity Log'!C50=$B$3)),(OR($E$3="All",'Monthly Activity Log'!B50=$E$3))),'Monthly Activity Log'!E50,"")</f>
        <v/>
      </c>
      <c r="F51" s="74">
        <f>IF(AND(('Monthly Activity Log'!C50&lt;&gt;""),(OR($B$3="All",'Monthly Activity Log'!C50=$B$3)),(OR($E$3="All",'Monthly Activity Log'!B50=$E$3))),'Monthly Activity Log'!F50,"")</f>
        <v/>
      </c>
      <c r="G51" s="74">
        <f>IF(AND(('Monthly Activity Log'!C50&lt;&gt;""),(OR($B$3="All",'Monthly Activity Log'!C50=$B$3)),(OR($E$3="All",'Monthly Activity Log'!B50=$E$3))),'Monthly Activity Log'!G50,"")</f>
        <v/>
      </c>
      <c r="H51" s="74">
        <f>IF(AND(('Monthly Activity Log'!C50&lt;&gt;""),(OR($B$3="All",'Monthly Activity Log'!C50=$B$3)),(OR($E$3="All",'Monthly Activity Log'!B50=$E$3))),'Monthly Activity Log'!H50,"")</f>
        <v/>
      </c>
      <c r="I51" s="74">
        <f>IF(AND(('Monthly Activity Log'!C50&lt;&gt;""),(OR($B$3="All",'Monthly Activity Log'!C50=$B$3)),(OR($E$3="All",'Monthly Activity Log'!B50=$E$3))),'Monthly Activity Log'!I50,"")</f>
        <v/>
      </c>
      <c r="J51" s="74">
        <f>IF(AND(('Monthly Activity Log'!C50&lt;&gt;""),(OR($B$3="All",'Monthly Activity Log'!C50=$B$3)),(OR($E$3="All",'Monthly Activity Log'!B50=$E$3))),'Monthly Activity Log'!J50,"")</f>
        <v/>
      </c>
      <c r="K51" s="74">
        <f>IF(AND(('Monthly Activity Log'!C50&lt;&gt;""),(OR($B$3="All",'Monthly Activity Log'!C50=$B$3)),(OR($E$3="All",'Monthly Activity Log'!B50=$E$3))),'Monthly Activity Log'!K50,"")</f>
        <v/>
      </c>
    </row>
    <row r="52" ht="15.75" customHeight="1" s="65">
      <c r="A52" s="69">
        <f>IF(AND(('Monthly Activity Log'!C51&lt;&gt;""),(OR($B$3="All",'Monthly Activity Log'!C51=$B$3)),(OR($E$3="All",'Monthly Activity Log'!B51=$E$3))),ROW()-4,"")</f>
        <v/>
      </c>
      <c r="B52" s="70">
        <f>IF(AND(('Monthly Activity Log'!C51&lt;&gt;""),(OR($B$3="All",'Monthly Activity Log'!C51=$B$3)),(OR($E$3="All",'Monthly Activity Log'!B51=$E$3))),'Monthly Activity Log'!B51,"")</f>
        <v/>
      </c>
      <c r="C52" s="70">
        <f>IF(AND(('Monthly Activity Log'!C51&lt;&gt;""),(OR($B$3="All",'Monthly Activity Log'!C51=$B$3)),(OR($E$3="All",'Monthly Activity Log'!B51=$E$3))),'Monthly Activity Log'!C51,"")</f>
        <v/>
      </c>
      <c r="D52" s="70">
        <f>IF(AND(('Monthly Activity Log'!C51&lt;&gt;""),(OR($B$3="All",'Monthly Activity Log'!C51=$B$3)),(OR($E$3="All",'Monthly Activity Log'!B51=$E$3))),'Monthly Activity Log'!D51,"")</f>
        <v/>
      </c>
      <c r="E52" s="70">
        <f>IF(AND(('Monthly Activity Log'!C51&lt;&gt;""),(OR($B$3="All",'Monthly Activity Log'!C51=$B$3)),(OR($E$3="All",'Monthly Activity Log'!B51=$E$3))),'Monthly Activity Log'!E51,"")</f>
        <v/>
      </c>
      <c r="F52" s="70">
        <f>IF(AND(('Monthly Activity Log'!C51&lt;&gt;""),(OR($B$3="All",'Monthly Activity Log'!C51=$B$3)),(OR($E$3="All",'Monthly Activity Log'!B51=$E$3))),'Monthly Activity Log'!F51,"")</f>
        <v/>
      </c>
      <c r="G52" s="70">
        <f>IF(AND(('Monthly Activity Log'!C51&lt;&gt;""),(OR($B$3="All",'Monthly Activity Log'!C51=$B$3)),(OR($E$3="All",'Monthly Activity Log'!B51=$E$3))),'Monthly Activity Log'!G51,"")</f>
        <v/>
      </c>
      <c r="H52" s="70">
        <f>IF(AND(('Monthly Activity Log'!C51&lt;&gt;""),(OR($B$3="All",'Monthly Activity Log'!C51=$B$3)),(OR($E$3="All",'Monthly Activity Log'!B51=$E$3))),'Monthly Activity Log'!H51,"")</f>
        <v/>
      </c>
      <c r="I52" s="70">
        <f>IF(AND(('Monthly Activity Log'!C51&lt;&gt;""),(OR($B$3="All",'Monthly Activity Log'!C51=$B$3)),(OR($E$3="All",'Monthly Activity Log'!B51=$E$3))),'Monthly Activity Log'!I51,"")</f>
        <v/>
      </c>
      <c r="J52" s="70">
        <f>IF(AND(('Monthly Activity Log'!C51&lt;&gt;""),(OR($B$3="All",'Monthly Activity Log'!C51=$B$3)),(OR($E$3="All",'Monthly Activity Log'!B51=$E$3))),'Monthly Activity Log'!J51,"")</f>
        <v/>
      </c>
      <c r="K52" s="70">
        <f>IF(AND(('Monthly Activity Log'!C51&lt;&gt;""),(OR($B$3="All",'Monthly Activity Log'!C51=$B$3)),(OR($E$3="All",'Monthly Activity Log'!B51=$E$3))),'Monthly Activity Log'!K51,"")</f>
        <v/>
      </c>
    </row>
    <row r="53" ht="15.75" customHeight="1" s="65">
      <c r="A53" s="73">
        <f>IF(AND(('Monthly Activity Log'!C52&lt;&gt;""),(OR($B$3="All",'Monthly Activity Log'!C52=$B$3)),(OR($E$3="All",'Monthly Activity Log'!B52=$E$3))),ROW()-4,"")</f>
        <v/>
      </c>
      <c r="B53" s="74">
        <f>IF(AND(('Monthly Activity Log'!C52&lt;&gt;""),(OR($B$3="All",'Monthly Activity Log'!C52=$B$3)),(OR($E$3="All",'Monthly Activity Log'!B52=$E$3))),'Monthly Activity Log'!B52,"")</f>
        <v/>
      </c>
      <c r="C53" s="74">
        <f>IF(AND(('Monthly Activity Log'!C52&lt;&gt;""),(OR($B$3="All",'Monthly Activity Log'!C52=$B$3)),(OR($E$3="All",'Monthly Activity Log'!B52=$E$3))),'Monthly Activity Log'!C52,"")</f>
        <v/>
      </c>
      <c r="D53" s="74">
        <f>IF(AND(('Monthly Activity Log'!C52&lt;&gt;""),(OR($B$3="All",'Monthly Activity Log'!C52=$B$3)),(OR($E$3="All",'Monthly Activity Log'!B52=$E$3))),'Monthly Activity Log'!D52,"")</f>
        <v/>
      </c>
      <c r="E53" s="74">
        <f>IF(AND(('Monthly Activity Log'!C52&lt;&gt;""),(OR($B$3="All",'Monthly Activity Log'!C52=$B$3)),(OR($E$3="All",'Monthly Activity Log'!B52=$E$3))),'Monthly Activity Log'!E52,"")</f>
        <v/>
      </c>
      <c r="F53" s="74">
        <f>IF(AND(('Monthly Activity Log'!C52&lt;&gt;""),(OR($B$3="All",'Monthly Activity Log'!C52=$B$3)),(OR($E$3="All",'Monthly Activity Log'!B52=$E$3))),'Monthly Activity Log'!F52,"")</f>
        <v/>
      </c>
      <c r="G53" s="74">
        <f>IF(AND(('Monthly Activity Log'!C52&lt;&gt;""),(OR($B$3="All",'Monthly Activity Log'!C52=$B$3)),(OR($E$3="All",'Monthly Activity Log'!B52=$E$3))),'Monthly Activity Log'!G52,"")</f>
        <v/>
      </c>
      <c r="H53" s="74">
        <f>IF(AND(('Monthly Activity Log'!C52&lt;&gt;""),(OR($B$3="All",'Monthly Activity Log'!C52=$B$3)),(OR($E$3="All",'Monthly Activity Log'!B52=$E$3))),'Monthly Activity Log'!H52,"")</f>
        <v/>
      </c>
      <c r="I53" s="74">
        <f>IF(AND(('Monthly Activity Log'!C52&lt;&gt;""),(OR($B$3="All",'Monthly Activity Log'!C52=$B$3)),(OR($E$3="All",'Monthly Activity Log'!B52=$E$3))),'Monthly Activity Log'!I52,"")</f>
        <v/>
      </c>
      <c r="J53" s="74">
        <f>IF(AND(('Monthly Activity Log'!C52&lt;&gt;""),(OR($B$3="All",'Monthly Activity Log'!C52=$B$3)),(OR($E$3="All",'Monthly Activity Log'!B52=$E$3))),'Monthly Activity Log'!J52,"")</f>
        <v/>
      </c>
      <c r="K53" s="74">
        <f>IF(AND(('Monthly Activity Log'!C52&lt;&gt;""),(OR($B$3="All",'Monthly Activity Log'!C52=$B$3)),(OR($E$3="All",'Monthly Activity Log'!B52=$E$3))),'Monthly Activity Log'!K52,"")</f>
        <v/>
      </c>
    </row>
    <row r="54" ht="15.75" customHeight="1" s="65">
      <c r="A54" s="69">
        <f>IF(AND(('Monthly Activity Log'!C53&lt;&gt;""),(OR($B$3="All",'Monthly Activity Log'!C53=$B$3)),(OR($E$3="All",'Monthly Activity Log'!B53=$E$3))),ROW()-4,"")</f>
        <v/>
      </c>
      <c r="B54" s="70">
        <f>IF(AND(('Monthly Activity Log'!C53&lt;&gt;""),(OR($B$3="All",'Monthly Activity Log'!C53=$B$3)),(OR($E$3="All",'Monthly Activity Log'!B53=$E$3))),'Monthly Activity Log'!B53,"")</f>
        <v/>
      </c>
      <c r="C54" s="70">
        <f>IF(AND(('Monthly Activity Log'!C53&lt;&gt;""),(OR($B$3="All",'Monthly Activity Log'!C53=$B$3)),(OR($E$3="All",'Monthly Activity Log'!B53=$E$3))),'Monthly Activity Log'!C53,"")</f>
        <v/>
      </c>
      <c r="D54" s="70">
        <f>IF(AND(('Monthly Activity Log'!C53&lt;&gt;""),(OR($B$3="All",'Monthly Activity Log'!C53=$B$3)),(OR($E$3="All",'Monthly Activity Log'!B53=$E$3))),'Monthly Activity Log'!D53,"")</f>
        <v/>
      </c>
      <c r="E54" s="70">
        <f>IF(AND(('Monthly Activity Log'!C53&lt;&gt;""),(OR($B$3="All",'Monthly Activity Log'!C53=$B$3)),(OR($E$3="All",'Monthly Activity Log'!B53=$E$3))),'Monthly Activity Log'!E53,"")</f>
        <v/>
      </c>
      <c r="F54" s="70">
        <f>IF(AND(('Monthly Activity Log'!C53&lt;&gt;""),(OR($B$3="All",'Monthly Activity Log'!C53=$B$3)),(OR($E$3="All",'Monthly Activity Log'!B53=$E$3))),'Monthly Activity Log'!F53,"")</f>
        <v/>
      </c>
      <c r="G54" s="70">
        <f>IF(AND(('Monthly Activity Log'!C53&lt;&gt;""),(OR($B$3="All",'Monthly Activity Log'!C53=$B$3)),(OR($E$3="All",'Monthly Activity Log'!B53=$E$3))),'Monthly Activity Log'!G53,"")</f>
        <v/>
      </c>
      <c r="H54" s="70">
        <f>IF(AND(('Monthly Activity Log'!C53&lt;&gt;""),(OR($B$3="All",'Monthly Activity Log'!C53=$B$3)),(OR($E$3="All",'Monthly Activity Log'!B53=$E$3))),'Monthly Activity Log'!H53,"")</f>
        <v/>
      </c>
      <c r="I54" s="70">
        <f>IF(AND(('Monthly Activity Log'!C53&lt;&gt;""),(OR($B$3="All",'Monthly Activity Log'!C53=$B$3)),(OR($E$3="All",'Monthly Activity Log'!B53=$E$3))),'Monthly Activity Log'!I53,"")</f>
        <v/>
      </c>
      <c r="J54" s="70">
        <f>IF(AND(('Monthly Activity Log'!C53&lt;&gt;""),(OR($B$3="All",'Monthly Activity Log'!C53=$B$3)),(OR($E$3="All",'Monthly Activity Log'!B53=$E$3))),'Monthly Activity Log'!J53,"")</f>
        <v/>
      </c>
      <c r="K54" s="70">
        <f>IF(AND(('Monthly Activity Log'!C53&lt;&gt;""),(OR($B$3="All",'Monthly Activity Log'!C53=$B$3)),(OR($E$3="All",'Monthly Activity Log'!B53=$E$3))),'Monthly Activity Log'!K53,"")</f>
        <v/>
      </c>
    </row>
    <row r="55" ht="15.75" customHeight="1" s="65">
      <c r="A55" s="73">
        <f>IF(AND(('Monthly Activity Log'!C54&lt;&gt;""),(OR($B$3="All",'Monthly Activity Log'!C54=$B$3)),(OR($E$3="All",'Monthly Activity Log'!B54=$E$3))),ROW()-4,"")</f>
        <v/>
      </c>
      <c r="B55" s="74">
        <f>IF(AND(('Monthly Activity Log'!C54&lt;&gt;""),(OR($B$3="All",'Monthly Activity Log'!C54=$B$3)),(OR($E$3="All",'Monthly Activity Log'!B54=$E$3))),'Monthly Activity Log'!B54,"")</f>
        <v/>
      </c>
      <c r="C55" s="74">
        <f>IF(AND(('Monthly Activity Log'!C54&lt;&gt;""),(OR($B$3="All",'Monthly Activity Log'!C54=$B$3)),(OR($E$3="All",'Monthly Activity Log'!B54=$E$3))),'Monthly Activity Log'!C54,"")</f>
        <v/>
      </c>
      <c r="D55" s="74">
        <f>IF(AND(('Monthly Activity Log'!C54&lt;&gt;""),(OR($B$3="All",'Monthly Activity Log'!C54=$B$3)),(OR($E$3="All",'Monthly Activity Log'!B54=$E$3))),'Monthly Activity Log'!D54,"")</f>
        <v/>
      </c>
      <c r="E55" s="74">
        <f>IF(AND(('Monthly Activity Log'!C54&lt;&gt;""),(OR($B$3="All",'Monthly Activity Log'!C54=$B$3)),(OR($E$3="All",'Monthly Activity Log'!B54=$E$3))),'Monthly Activity Log'!E54,"")</f>
        <v/>
      </c>
      <c r="F55" s="74">
        <f>IF(AND(('Monthly Activity Log'!C54&lt;&gt;""),(OR($B$3="All",'Monthly Activity Log'!C54=$B$3)),(OR($E$3="All",'Monthly Activity Log'!B54=$E$3))),'Monthly Activity Log'!F54,"")</f>
        <v/>
      </c>
      <c r="G55" s="74">
        <f>IF(AND(('Monthly Activity Log'!C54&lt;&gt;""),(OR($B$3="All",'Monthly Activity Log'!C54=$B$3)),(OR($E$3="All",'Monthly Activity Log'!B54=$E$3))),'Monthly Activity Log'!G54,"")</f>
        <v/>
      </c>
      <c r="H55" s="74">
        <f>IF(AND(('Monthly Activity Log'!C54&lt;&gt;""),(OR($B$3="All",'Monthly Activity Log'!C54=$B$3)),(OR($E$3="All",'Monthly Activity Log'!B54=$E$3))),'Monthly Activity Log'!H54,"")</f>
        <v/>
      </c>
      <c r="I55" s="74">
        <f>IF(AND(('Monthly Activity Log'!C54&lt;&gt;""),(OR($B$3="All",'Monthly Activity Log'!C54=$B$3)),(OR($E$3="All",'Monthly Activity Log'!B54=$E$3))),'Monthly Activity Log'!I54,"")</f>
        <v/>
      </c>
      <c r="J55" s="74">
        <f>IF(AND(('Monthly Activity Log'!C54&lt;&gt;""),(OR($B$3="All",'Monthly Activity Log'!C54=$B$3)),(OR($E$3="All",'Monthly Activity Log'!B54=$E$3))),'Monthly Activity Log'!J54,"")</f>
        <v/>
      </c>
      <c r="K55" s="74">
        <f>IF(AND(('Monthly Activity Log'!C54&lt;&gt;""),(OR($B$3="All",'Monthly Activity Log'!C54=$B$3)),(OR($E$3="All",'Monthly Activity Log'!B54=$E$3))),'Monthly Activity Log'!K54,"")</f>
        <v/>
      </c>
    </row>
    <row r="56" ht="15.75" customHeight="1" s="65">
      <c r="A56" s="69">
        <f>IF(AND(('Monthly Activity Log'!C55&lt;&gt;""),(OR($B$3="All",'Monthly Activity Log'!C55=$B$3)),(OR($E$3="All",'Monthly Activity Log'!B55=$E$3))),ROW()-4,"")</f>
        <v/>
      </c>
      <c r="B56" s="70">
        <f>IF(AND(('Monthly Activity Log'!C55&lt;&gt;""),(OR($B$3="All",'Monthly Activity Log'!C55=$B$3)),(OR($E$3="All",'Monthly Activity Log'!B55=$E$3))),'Monthly Activity Log'!B55,"")</f>
        <v/>
      </c>
      <c r="C56" s="70">
        <f>IF(AND(('Monthly Activity Log'!C55&lt;&gt;""),(OR($B$3="All",'Monthly Activity Log'!C55=$B$3)),(OR($E$3="All",'Monthly Activity Log'!B55=$E$3))),'Monthly Activity Log'!C55,"")</f>
        <v/>
      </c>
      <c r="D56" s="70">
        <f>IF(AND(('Monthly Activity Log'!C55&lt;&gt;""),(OR($B$3="All",'Monthly Activity Log'!C55=$B$3)),(OR($E$3="All",'Monthly Activity Log'!B55=$E$3))),'Monthly Activity Log'!D55,"")</f>
        <v/>
      </c>
      <c r="E56" s="70">
        <f>IF(AND(('Monthly Activity Log'!C55&lt;&gt;""),(OR($B$3="All",'Monthly Activity Log'!C55=$B$3)),(OR($E$3="All",'Monthly Activity Log'!B55=$E$3))),'Monthly Activity Log'!E55,"")</f>
        <v/>
      </c>
      <c r="F56" s="70">
        <f>IF(AND(('Monthly Activity Log'!C55&lt;&gt;""),(OR($B$3="All",'Monthly Activity Log'!C55=$B$3)),(OR($E$3="All",'Monthly Activity Log'!B55=$E$3))),'Monthly Activity Log'!F55,"")</f>
        <v/>
      </c>
      <c r="G56" s="70">
        <f>IF(AND(('Monthly Activity Log'!C55&lt;&gt;""),(OR($B$3="All",'Monthly Activity Log'!C55=$B$3)),(OR($E$3="All",'Monthly Activity Log'!B55=$E$3))),'Monthly Activity Log'!G55,"")</f>
        <v/>
      </c>
      <c r="H56" s="70">
        <f>IF(AND(('Monthly Activity Log'!C55&lt;&gt;""),(OR($B$3="All",'Monthly Activity Log'!C55=$B$3)),(OR($E$3="All",'Monthly Activity Log'!B55=$E$3))),'Monthly Activity Log'!H55,"")</f>
        <v/>
      </c>
      <c r="I56" s="70">
        <f>IF(AND(('Monthly Activity Log'!C55&lt;&gt;""),(OR($B$3="All",'Monthly Activity Log'!C55=$B$3)),(OR($E$3="All",'Monthly Activity Log'!B55=$E$3))),'Monthly Activity Log'!I55,"")</f>
        <v/>
      </c>
      <c r="J56" s="70">
        <f>IF(AND(('Monthly Activity Log'!C55&lt;&gt;""),(OR($B$3="All",'Monthly Activity Log'!C55=$B$3)),(OR($E$3="All",'Monthly Activity Log'!B55=$E$3))),'Monthly Activity Log'!J55,"")</f>
        <v/>
      </c>
      <c r="K56" s="70">
        <f>IF(AND(('Monthly Activity Log'!C55&lt;&gt;""),(OR($B$3="All",'Monthly Activity Log'!C55=$B$3)),(OR($E$3="All",'Monthly Activity Log'!B55=$E$3))),'Monthly Activity Log'!K55,"")</f>
        <v/>
      </c>
    </row>
    <row r="57" ht="15.75" customHeight="1" s="65">
      <c r="A57" s="73">
        <f>IF(AND(('Monthly Activity Log'!C56&lt;&gt;""),(OR($B$3="All",'Monthly Activity Log'!C56=$B$3)),(OR($E$3="All",'Monthly Activity Log'!B56=$E$3))),ROW()-4,"")</f>
        <v/>
      </c>
      <c r="B57" s="74">
        <f>IF(AND(('Monthly Activity Log'!C56&lt;&gt;""),(OR($B$3="All",'Monthly Activity Log'!C56=$B$3)),(OR($E$3="All",'Monthly Activity Log'!B56=$E$3))),'Monthly Activity Log'!B56,"")</f>
        <v/>
      </c>
      <c r="C57" s="74">
        <f>IF(AND(('Monthly Activity Log'!C56&lt;&gt;""),(OR($B$3="All",'Monthly Activity Log'!C56=$B$3)),(OR($E$3="All",'Monthly Activity Log'!B56=$E$3))),'Monthly Activity Log'!C56,"")</f>
        <v/>
      </c>
      <c r="D57" s="74">
        <f>IF(AND(('Monthly Activity Log'!C56&lt;&gt;""),(OR($B$3="All",'Monthly Activity Log'!C56=$B$3)),(OR($E$3="All",'Monthly Activity Log'!B56=$E$3))),'Monthly Activity Log'!D56,"")</f>
        <v/>
      </c>
      <c r="E57" s="74">
        <f>IF(AND(('Monthly Activity Log'!C56&lt;&gt;""),(OR($B$3="All",'Monthly Activity Log'!C56=$B$3)),(OR($E$3="All",'Monthly Activity Log'!B56=$E$3))),'Monthly Activity Log'!E56,"")</f>
        <v/>
      </c>
      <c r="F57" s="74">
        <f>IF(AND(('Monthly Activity Log'!C56&lt;&gt;""),(OR($B$3="All",'Monthly Activity Log'!C56=$B$3)),(OR($E$3="All",'Monthly Activity Log'!B56=$E$3))),'Monthly Activity Log'!F56,"")</f>
        <v/>
      </c>
      <c r="G57" s="74">
        <f>IF(AND(('Monthly Activity Log'!C56&lt;&gt;""),(OR($B$3="All",'Monthly Activity Log'!C56=$B$3)),(OR($E$3="All",'Monthly Activity Log'!B56=$E$3))),'Monthly Activity Log'!G56,"")</f>
        <v/>
      </c>
      <c r="H57" s="74">
        <f>IF(AND(('Monthly Activity Log'!C56&lt;&gt;""),(OR($B$3="All",'Monthly Activity Log'!C56=$B$3)),(OR($E$3="All",'Monthly Activity Log'!B56=$E$3))),'Monthly Activity Log'!H56,"")</f>
        <v/>
      </c>
      <c r="I57" s="74">
        <f>IF(AND(('Monthly Activity Log'!C56&lt;&gt;""),(OR($B$3="All",'Monthly Activity Log'!C56=$B$3)),(OR($E$3="All",'Monthly Activity Log'!B56=$E$3))),'Monthly Activity Log'!I56,"")</f>
        <v/>
      </c>
      <c r="J57" s="74">
        <f>IF(AND(('Monthly Activity Log'!C56&lt;&gt;""),(OR($B$3="All",'Monthly Activity Log'!C56=$B$3)),(OR($E$3="All",'Monthly Activity Log'!B56=$E$3))),'Monthly Activity Log'!J56,"")</f>
        <v/>
      </c>
      <c r="K57" s="74">
        <f>IF(AND(('Monthly Activity Log'!C56&lt;&gt;""),(OR($B$3="All",'Monthly Activity Log'!C56=$B$3)),(OR($E$3="All",'Monthly Activity Log'!B56=$E$3))),'Monthly Activity Log'!K56,"")</f>
        <v/>
      </c>
    </row>
    <row r="58" ht="15.75" customHeight="1" s="65">
      <c r="A58" s="69">
        <f>IF(AND(('Monthly Activity Log'!C57&lt;&gt;""),(OR($B$3="All",'Monthly Activity Log'!C57=$B$3)),(OR($E$3="All",'Monthly Activity Log'!B57=$E$3))),ROW()-4,"")</f>
        <v/>
      </c>
      <c r="B58" s="70">
        <f>IF(AND(('Monthly Activity Log'!C57&lt;&gt;""),(OR($B$3="All",'Monthly Activity Log'!C57=$B$3)),(OR($E$3="All",'Monthly Activity Log'!B57=$E$3))),'Monthly Activity Log'!B57,"")</f>
        <v/>
      </c>
      <c r="C58" s="70">
        <f>IF(AND(('Monthly Activity Log'!C57&lt;&gt;""),(OR($B$3="All",'Monthly Activity Log'!C57=$B$3)),(OR($E$3="All",'Monthly Activity Log'!B57=$E$3))),'Monthly Activity Log'!C57,"")</f>
        <v/>
      </c>
      <c r="D58" s="70">
        <f>IF(AND(('Monthly Activity Log'!C57&lt;&gt;""),(OR($B$3="All",'Monthly Activity Log'!C57=$B$3)),(OR($E$3="All",'Monthly Activity Log'!B57=$E$3))),'Monthly Activity Log'!D57,"")</f>
        <v/>
      </c>
      <c r="E58" s="70">
        <f>IF(AND(('Monthly Activity Log'!C57&lt;&gt;""),(OR($B$3="All",'Monthly Activity Log'!C57=$B$3)),(OR($E$3="All",'Monthly Activity Log'!B57=$E$3))),'Monthly Activity Log'!E57,"")</f>
        <v/>
      </c>
      <c r="F58" s="70">
        <f>IF(AND(('Monthly Activity Log'!C57&lt;&gt;""),(OR($B$3="All",'Monthly Activity Log'!C57=$B$3)),(OR($E$3="All",'Monthly Activity Log'!B57=$E$3))),'Monthly Activity Log'!F57,"")</f>
        <v/>
      </c>
      <c r="G58" s="70">
        <f>IF(AND(('Monthly Activity Log'!C57&lt;&gt;""),(OR($B$3="All",'Monthly Activity Log'!C57=$B$3)),(OR($E$3="All",'Monthly Activity Log'!B57=$E$3))),'Monthly Activity Log'!G57,"")</f>
        <v/>
      </c>
      <c r="H58" s="70">
        <f>IF(AND(('Monthly Activity Log'!C57&lt;&gt;""),(OR($B$3="All",'Monthly Activity Log'!C57=$B$3)),(OR($E$3="All",'Monthly Activity Log'!B57=$E$3))),'Monthly Activity Log'!H57,"")</f>
        <v/>
      </c>
      <c r="I58" s="70">
        <f>IF(AND(('Monthly Activity Log'!C57&lt;&gt;""),(OR($B$3="All",'Monthly Activity Log'!C57=$B$3)),(OR($E$3="All",'Monthly Activity Log'!B57=$E$3))),'Monthly Activity Log'!I57,"")</f>
        <v/>
      </c>
      <c r="J58" s="70">
        <f>IF(AND(('Monthly Activity Log'!C57&lt;&gt;""),(OR($B$3="All",'Monthly Activity Log'!C57=$B$3)),(OR($E$3="All",'Monthly Activity Log'!B57=$E$3))),'Monthly Activity Log'!J57,"")</f>
        <v/>
      </c>
      <c r="K58" s="70">
        <f>IF(AND(('Monthly Activity Log'!C57&lt;&gt;""),(OR($B$3="All",'Monthly Activity Log'!C57=$B$3)),(OR($E$3="All",'Monthly Activity Log'!B57=$E$3))),'Monthly Activity Log'!K57,"")</f>
        <v/>
      </c>
    </row>
    <row r="59" ht="15.75" customHeight="1" s="65">
      <c r="A59" s="73">
        <f>IF(AND(('Monthly Activity Log'!C58&lt;&gt;""),(OR($B$3="All",'Monthly Activity Log'!C58=$B$3)),(OR($E$3="All",'Monthly Activity Log'!B58=$E$3))),ROW()-4,"")</f>
        <v/>
      </c>
      <c r="B59" s="74">
        <f>IF(AND(('Monthly Activity Log'!C58&lt;&gt;""),(OR($B$3="All",'Monthly Activity Log'!C58=$B$3)),(OR($E$3="All",'Monthly Activity Log'!B58=$E$3))),'Monthly Activity Log'!B58,"")</f>
        <v/>
      </c>
      <c r="C59" s="74">
        <f>IF(AND(('Monthly Activity Log'!C58&lt;&gt;""),(OR($B$3="All",'Monthly Activity Log'!C58=$B$3)),(OR($E$3="All",'Monthly Activity Log'!B58=$E$3))),'Monthly Activity Log'!C58,"")</f>
        <v/>
      </c>
      <c r="D59" s="74">
        <f>IF(AND(('Monthly Activity Log'!C58&lt;&gt;""),(OR($B$3="All",'Monthly Activity Log'!C58=$B$3)),(OR($E$3="All",'Monthly Activity Log'!B58=$E$3))),'Monthly Activity Log'!D58,"")</f>
        <v/>
      </c>
      <c r="E59" s="74">
        <f>IF(AND(('Monthly Activity Log'!C58&lt;&gt;""),(OR($B$3="All",'Monthly Activity Log'!C58=$B$3)),(OR($E$3="All",'Monthly Activity Log'!B58=$E$3))),'Monthly Activity Log'!E58,"")</f>
        <v/>
      </c>
      <c r="F59" s="74">
        <f>IF(AND(('Monthly Activity Log'!C58&lt;&gt;""),(OR($B$3="All",'Monthly Activity Log'!C58=$B$3)),(OR($E$3="All",'Monthly Activity Log'!B58=$E$3))),'Monthly Activity Log'!F58,"")</f>
        <v/>
      </c>
      <c r="G59" s="74">
        <f>IF(AND(('Monthly Activity Log'!C58&lt;&gt;""),(OR($B$3="All",'Monthly Activity Log'!C58=$B$3)),(OR($E$3="All",'Monthly Activity Log'!B58=$E$3))),'Monthly Activity Log'!G58,"")</f>
        <v/>
      </c>
      <c r="H59" s="74">
        <f>IF(AND(('Monthly Activity Log'!C58&lt;&gt;""),(OR($B$3="All",'Monthly Activity Log'!C58=$B$3)),(OR($E$3="All",'Monthly Activity Log'!B58=$E$3))),'Monthly Activity Log'!H58,"")</f>
        <v/>
      </c>
      <c r="I59" s="74">
        <f>IF(AND(('Monthly Activity Log'!C58&lt;&gt;""),(OR($B$3="All",'Monthly Activity Log'!C58=$B$3)),(OR($E$3="All",'Monthly Activity Log'!B58=$E$3))),'Monthly Activity Log'!I58,"")</f>
        <v/>
      </c>
      <c r="J59" s="74">
        <f>IF(AND(('Monthly Activity Log'!C58&lt;&gt;""),(OR($B$3="All",'Monthly Activity Log'!C58=$B$3)),(OR($E$3="All",'Monthly Activity Log'!B58=$E$3))),'Monthly Activity Log'!J58,"")</f>
        <v/>
      </c>
      <c r="K59" s="74">
        <f>IF(AND(('Monthly Activity Log'!C58&lt;&gt;""),(OR($B$3="All",'Monthly Activity Log'!C58=$B$3)),(OR($E$3="All",'Monthly Activity Log'!B58=$E$3))),'Monthly Activity Log'!K58,"")</f>
        <v/>
      </c>
    </row>
    <row r="60" ht="15.75" customHeight="1" s="65">
      <c r="A60" s="69">
        <f>IF(AND(('Monthly Activity Log'!C59&lt;&gt;""),(OR($B$3="All",'Monthly Activity Log'!C59=$B$3)),(OR($E$3="All",'Monthly Activity Log'!B59=$E$3))),ROW()-4,"")</f>
        <v/>
      </c>
      <c r="B60" s="70">
        <f>IF(AND(('Monthly Activity Log'!C59&lt;&gt;""),(OR($B$3="All",'Monthly Activity Log'!C59=$B$3)),(OR($E$3="All",'Monthly Activity Log'!B59=$E$3))),'Monthly Activity Log'!B59,"")</f>
        <v/>
      </c>
      <c r="C60" s="70">
        <f>IF(AND(('Monthly Activity Log'!C59&lt;&gt;""),(OR($B$3="All",'Monthly Activity Log'!C59=$B$3)),(OR($E$3="All",'Monthly Activity Log'!B59=$E$3))),'Monthly Activity Log'!C59,"")</f>
        <v/>
      </c>
      <c r="D60" s="70">
        <f>IF(AND(('Monthly Activity Log'!C59&lt;&gt;""),(OR($B$3="All",'Monthly Activity Log'!C59=$B$3)),(OR($E$3="All",'Monthly Activity Log'!B59=$E$3))),'Monthly Activity Log'!D59,"")</f>
        <v/>
      </c>
      <c r="E60" s="70">
        <f>IF(AND(('Monthly Activity Log'!C59&lt;&gt;""),(OR($B$3="All",'Monthly Activity Log'!C59=$B$3)),(OR($E$3="All",'Monthly Activity Log'!B59=$E$3))),'Monthly Activity Log'!E59,"")</f>
        <v/>
      </c>
      <c r="F60" s="70">
        <f>IF(AND(('Monthly Activity Log'!C59&lt;&gt;""),(OR($B$3="All",'Monthly Activity Log'!C59=$B$3)),(OR($E$3="All",'Monthly Activity Log'!B59=$E$3))),'Monthly Activity Log'!F59,"")</f>
        <v/>
      </c>
      <c r="G60" s="70">
        <f>IF(AND(('Monthly Activity Log'!C59&lt;&gt;""),(OR($B$3="All",'Monthly Activity Log'!C59=$B$3)),(OR($E$3="All",'Monthly Activity Log'!B59=$E$3))),'Monthly Activity Log'!G59,"")</f>
        <v/>
      </c>
      <c r="H60" s="70">
        <f>IF(AND(('Monthly Activity Log'!C59&lt;&gt;""),(OR($B$3="All",'Monthly Activity Log'!C59=$B$3)),(OR($E$3="All",'Monthly Activity Log'!B59=$E$3))),'Monthly Activity Log'!H59,"")</f>
        <v/>
      </c>
      <c r="I60" s="70">
        <f>IF(AND(('Monthly Activity Log'!C59&lt;&gt;""),(OR($B$3="All",'Monthly Activity Log'!C59=$B$3)),(OR($E$3="All",'Monthly Activity Log'!B59=$E$3))),'Monthly Activity Log'!I59,"")</f>
        <v/>
      </c>
      <c r="J60" s="70">
        <f>IF(AND(('Monthly Activity Log'!C59&lt;&gt;""),(OR($B$3="All",'Monthly Activity Log'!C59=$B$3)),(OR($E$3="All",'Monthly Activity Log'!B59=$E$3))),'Monthly Activity Log'!J59,"")</f>
        <v/>
      </c>
      <c r="K60" s="70">
        <f>IF(AND(('Monthly Activity Log'!C59&lt;&gt;""),(OR($B$3="All",'Monthly Activity Log'!C59=$B$3)),(OR($E$3="All",'Monthly Activity Log'!B59=$E$3))),'Monthly Activity Log'!K59,"")</f>
        <v/>
      </c>
    </row>
    <row r="61" ht="15.75" customHeight="1" s="65">
      <c r="A61" s="73">
        <f>IF(AND(('Monthly Activity Log'!C60&lt;&gt;""),(OR($B$3="All",'Monthly Activity Log'!C60=$B$3)),(OR($E$3="All",'Monthly Activity Log'!B60=$E$3))),ROW()-4,"")</f>
        <v/>
      </c>
      <c r="B61" s="74">
        <f>IF(AND(('Monthly Activity Log'!C60&lt;&gt;""),(OR($B$3="All",'Monthly Activity Log'!C60=$B$3)),(OR($E$3="All",'Monthly Activity Log'!B60=$E$3))),'Monthly Activity Log'!B60,"")</f>
        <v/>
      </c>
      <c r="C61" s="74">
        <f>IF(AND(('Monthly Activity Log'!C60&lt;&gt;""),(OR($B$3="All",'Monthly Activity Log'!C60=$B$3)),(OR($E$3="All",'Monthly Activity Log'!B60=$E$3))),'Monthly Activity Log'!C60,"")</f>
        <v/>
      </c>
      <c r="D61" s="74">
        <f>IF(AND(('Monthly Activity Log'!C60&lt;&gt;""),(OR($B$3="All",'Monthly Activity Log'!C60=$B$3)),(OR($E$3="All",'Monthly Activity Log'!B60=$E$3))),'Monthly Activity Log'!D60,"")</f>
        <v/>
      </c>
      <c r="E61" s="74">
        <f>IF(AND(('Monthly Activity Log'!C60&lt;&gt;""),(OR($B$3="All",'Monthly Activity Log'!C60=$B$3)),(OR($E$3="All",'Monthly Activity Log'!B60=$E$3))),'Monthly Activity Log'!E60,"")</f>
        <v/>
      </c>
      <c r="F61" s="74">
        <f>IF(AND(('Monthly Activity Log'!C60&lt;&gt;""),(OR($B$3="All",'Monthly Activity Log'!C60=$B$3)),(OR($E$3="All",'Monthly Activity Log'!B60=$E$3))),'Monthly Activity Log'!F60,"")</f>
        <v/>
      </c>
      <c r="G61" s="74">
        <f>IF(AND(('Monthly Activity Log'!C60&lt;&gt;""),(OR($B$3="All",'Monthly Activity Log'!C60=$B$3)),(OR($E$3="All",'Monthly Activity Log'!B60=$E$3))),'Monthly Activity Log'!G60,"")</f>
        <v/>
      </c>
      <c r="H61" s="74">
        <f>IF(AND(('Monthly Activity Log'!C60&lt;&gt;""),(OR($B$3="All",'Monthly Activity Log'!C60=$B$3)),(OR($E$3="All",'Monthly Activity Log'!B60=$E$3))),'Monthly Activity Log'!H60,"")</f>
        <v/>
      </c>
      <c r="I61" s="74">
        <f>IF(AND(('Monthly Activity Log'!C60&lt;&gt;""),(OR($B$3="All",'Monthly Activity Log'!C60=$B$3)),(OR($E$3="All",'Monthly Activity Log'!B60=$E$3))),'Monthly Activity Log'!I60,"")</f>
        <v/>
      </c>
      <c r="J61" s="74">
        <f>IF(AND(('Monthly Activity Log'!C60&lt;&gt;""),(OR($B$3="All",'Monthly Activity Log'!C60=$B$3)),(OR($E$3="All",'Monthly Activity Log'!B60=$E$3))),'Monthly Activity Log'!J60,"")</f>
        <v/>
      </c>
      <c r="K61" s="74">
        <f>IF(AND(('Monthly Activity Log'!C60&lt;&gt;""),(OR($B$3="All",'Monthly Activity Log'!C60=$B$3)),(OR($E$3="All",'Monthly Activity Log'!B60=$E$3))),'Monthly Activity Log'!K60,"")</f>
        <v/>
      </c>
    </row>
    <row r="62" ht="15.75" customHeight="1" s="65">
      <c r="A62" s="69">
        <f>IF(AND(('Monthly Activity Log'!C61&lt;&gt;""),(OR($B$3="All",'Monthly Activity Log'!C61=$B$3)),(OR($E$3="All",'Monthly Activity Log'!B61=$E$3))),ROW()-4,"")</f>
        <v/>
      </c>
      <c r="B62" s="70">
        <f>IF(AND(('Monthly Activity Log'!C61&lt;&gt;""),(OR($B$3="All",'Monthly Activity Log'!C61=$B$3)),(OR($E$3="All",'Monthly Activity Log'!B61=$E$3))),'Monthly Activity Log'!B61,"")</f>
        <v/>
      </c>
      <c r="C62" s="70">
        <f>IF(AND(('Monthly Activity Log'!C61&lt;&gt;""),(OR($B$3="All",'Monthly Activity Log'!C61=$B$3)),(OR($E$3="All",'Monthly Activity Log'!B61=$E$3))),'Monthly Activity Log'!C61,"")</f>
        <v/>
      </c>
      <c r="D62" s="70">
        <f>IF(AND(('Monthly Activity Log'!C61&lt;&gt;""),(OR($B$3="All",'Monthly Activity Log'!C61=$B$3)),(OR($E$3="All",'Monthly Activity Log'!B61=$E$3))),'Monthly Activity Log'!D61,"")</f>
        <v/>
      </c>
      <c r="E62" s="70">
        <f>IF(AND(('Monthly Activity Log'!C61&lt;&gt;""),(OR($B$3="All",'Monthly Activity Log'!C61=$B$3)),(OR($E$3="All",'Monthly Activity Log'!B61=$E$3))),'Monthly Activity Log'!E61,"")</f>
        <v/>
      </c>
      <c r="F62" s="70">
        <f>IF(AND(('Monthly Activity Log'!C61&lt;&gt;""),(OR($B$3="All",'Monthly Activity Log'!C61=$B$3)),(OR($E$3="All",'Monthly Activity Log'!B61=$E$3))),'Monthly Activity Log'!F61,"")</f>
        <v/>
      </c>
      <c r="G62" s="70">
        <f>IF(AND(('Monthly Activity Log'!C61&lt;&gt;""),(OR($B$3="All",'Monthly Activity Log'!C61=$B$3)),(OR($E$3="All",'Monthly Activity Log'!B61=$E$3))),'Monthly Activity Log'!G61,"")</f>
        <v/>
      </c>
      <c r="H62" s="70">
        <f>IF(AND(('Monthly Activity Log'!C61&lt;&gt;""),(OR($B$3="All",'Monthly Activity Log'!C61=$B$3)),(OR($E$3="All",'Monthly Activity Log'!B61=$E$3))),'Monthly Activity Log'!H61,"")</f>
        <v/>
      </c>
      <c r="I62" s="70">
        <f>IF(AND(('Monthly Activity Log'!C61&lt;&gt;""),(OR($B$3="All",'Monthly Activity Log'!C61=$B$3)),(OR($E$3="All",'Monthly Activity Log'!B61=$E$3))),'Monthly Activity Log'!I61,"")</f>
        <v/>
      </c>
      <c r="J62" s="70">
        <f>IF(AND(('Monthly Activity Log'!C61&lt;&gt;""),(OR($B$3="All",'Monthly Activity Log'!C61=$B$3)),(OR($E$3="All",'Monthly Activity Log'!B61=$E$3))),'Monthly Activity Log'!J61,"")</f>
        <v/>
      </c>
      <c r="K62" s="70">
        <f>IF(AND(('Monthly Activity Log'!C61&lt;&gt;""),(OR($B$3="All",'Monthly Activity Log'!C61=$B$3)),(OR($E$3="All",'Monthly Activity Log'!B61=$E$3))),'Monthly Activity Log'!K61,"")</f>
        <v/>
      </c>
    </row>
    <row r="63" ht="15.75" customHeight="1" s="65">
      <c r="A63" s="73">
        <f>IF(AND(('Monthly Activity Log'!C62&lt;&gt;""),(OR($B$3="All",'Monthly Activity Log'!C62=$B$3)),(OR($E$3="All",'Monthly Activity Log'!B62=$E$3))),ROW()-4,"")</f>
        <v/>
      </c>
      <c r="B63" s="74">
        <f>IF(AND(('Monthly Activity Log'!C62&lt;&gt;""),(OR($B$3="All",'Monthly Activity Log'!C62=$B$3)),(OR($E$3="All",'Monthly Activity Log'!B62=$E$3))),'Monthly Activity Log'!B62,"")</f>
        <v/>
      </c>
      <c r="C63" s="74">
        <f>IF(AND(('Monthly Activity Log'!C62&lt;&gt;""),(OR($B$3="All",'Monthly Activity Log'!C62=$B$3)),(OR($E$3="All",'Monthly Activity Log'!B62=$E$3))),'Monthly Activity Log'!C62,"")</f>
        <v/>
      </c>
      <c r="D63" s="74">
        <f>IF(AND(('Monthly Activity Log'!C62&lt;&gt;""),(OR($B$3="All",'Monthly Activity Log'!C62=$B$3)),(OR($E$3="All",'Monthly Activity Log'!B62=$E$3))),'Monthly Activity Log'!D62,"")</f>
        <v/>
      </c>
      <c r="E63" s="74">
        <f>IF(AND(('Monthly Activity Log'!C62&lt;&gt;""),(OR($B$3="All",'Monthly Activity Log'!C62=$B$3)),(OR($E$3="All",'Monthly Activity Log'!B62=$E$3))),'Monthly Activity Log'!E62,"")</f>
        <v/>
      </c>
      <c r="F63" s="74">
        <f>IF(AND(('Monthly Activity Log'!C62&lt;&gt;""),(OR($B$3="All",'Monthly Activity Log'!C62=$B$3)),(OR($E$3="All",'Monthly Activity Log'!B62=$E$3))),'Monthly Activity Log'!F62,"")</f>
        <v/>
      </c>
      <c r="G63" s="74">
        <f>IF(AND(('Monthly Activity Log'!C62&lt;&gt;""),(OR($B$3="All",'Monthly Activity Log'!C62=$B$3)),(OR($E$3="All",'Monthly Activity Log'!B62=$E$3))),'Monthly Activity Log'!G62,"")</f>
        <v/>
      </c>
      <c r="H63" s="74">
        <f>IF(AND(('Monthly Activity Log'!C62&lt;&gt;""),(OR($B$3="All",'Monthly Activity Log'!C62=$B$3)),(OR($E$3="All",'Monthly Activity Log'!B62=$E$3))),'Monthly Activity Log'!H62,"")</f>
        <v/>
      </c>
      <c r="I63" s="74">
        <f>IF(AND(('Monthly Activity Log'!C62&lt;&gt;""),(OR($B$3="All",'Monthly Activity Log'!C62=$B$3)),(OR($E$3="All",'Monthly Activity Log'!B62=$E$3))),'Monthly Activity Log'!I62,"")</f>
        <v/>
      </c>
      <c r="J63" s="74">
        <f>IF(AND(('Monthly Activity Log'!C62&lt;&gt;""),(OR($B$3="All",'Monthly Activity Log'!C62=$B$3)),(OR($E$3="All",'Monthly Activity Log'!B62=$E$3))),'Monthly Activity Log'!J62,"")</f>
        <v/>
      </c>
      <c r="K63" s="74">
        <f>IF(AND(('Monthly Activity Log'!C62&lt;&gt;""),(OR($B$3="All",'Monthly Activity Log'!C62=$B$3)),(OR($E$3="All",'Monthly Activity Log'!B62=$E$3))),'Monthly Activity Log'!K62,"")</f>
        <v/>
      </c>
    </row>
    <row r="64" ht="15.75" customHeight="1" s="65">
      <c r="A64" s="69">
        <f>IF(AND(('Monthly Activity Log'!C63&lt;&gt;""),(OR($B$3="All",'Monthly Activity Log'!C63=$B$3)),(OR($E$3="All",'Monthly Activity Log'!B63=$E$3))),ROW()-4,"")</f>
        <v/>
      </c>
      <c r="B64" s="70">
        <f>IF(AND(('Monthly Activity Log'!C63&lt;&gt;""),(OR($B$3="All",'Monthly Activity Log'!C63=$B$3)),(OR($E$3="All",'Monthly Activity Log'!B63=$E$3))),'Monthly Activity Log'!B63,"")</f>
        <v/>
      </c>
      <c r="C64" s="70">
        <f>IF(AND(('Monthly Activity Log'!C63&lt;&gt;""),(OR($B$3="All",'Monthly Activity Log'!C63=$B$3)),(OR($E$3="All",'Monthly Activity Log'!B63=$E$3))),'Monthly Activity Log'!C63,"")</f>
        <v/>
      </c>
      <c r="D64" s="70">
        <f>IF(AND(('Monthly Activity Log'!C63&lt;&gt;""),(OR($B$3="All",'Monthly Activity Log'!C63=$B$3)),(OR($E$3="All",'Monthly Activity Log'!B63=$E$3))),'Monthly Activity Log'!D63,"")</f>
        <v/>
      </c>
      <c r="E64" s="70">
        <f>IF(AND(('Monthly Activity Log'!C63&lt;&gt;""),(OR($B$3="All",'Monthly Activity Log'!C63=$B$3)),(OR($E$3="All",'Monthly Activity Log'!B63=$E$3))),'Monthly Activity Log'!E63,"")</f>
        <v/>
      </c>
      <c r="F64" s="70">
        <f>IF(AND(('Monthly Activity Log'!C63&lt;&gt;""),(OR($B$3="All",'Monthly Activity Log'!C63=$B$3)),(OR($E$3="All",'Monthly Activity Log'!B63=$E$3))),'Monthly Activity Log'!F63,"")</f>
        <v/>
      </c>
      <c r="G64" s="70">
        <f>IF(AND(('Monthly Activity Log'!C63&lt;&gt;""),(OR($B$3="All",'Monthly Activity Log'!C63=$B$3)),(OR($E$3="All",'Monthly Activity Log'!B63=$E$3))),'Monthly Activity Log'!G63,"")</f>
        <v/>
      </c>
      <c r="H64" s="70">
        <f>IF(AND(('Monthly Activity Log'!C63&lt;&gt;""),(OR($B$3="All",'Monthly Activity Log'!C63=$B$3)),(OR($E$3="All",'Monthly Activity Log'!B63=$E$3))),'Monthly Activity Log'!H63,"")</f>
        <v/>
      </c>
      <c r="I64" s="70">
        <f>IF(AND(('Monthly Activity Log'!C63&lt;&gt;""),(OR($B$3="All",'Monthly Activity Log'!C63=$B$3)),(OR($E$3="All",'Monthly Activity Log'!B63=$E$3))),'Monthly Activity Log'!I63,"")</f>
        <v/>
      </c>
      <c r="J64" s="70">
        <f>IF(AND(('Monthly Activity Log'!C63&lt;&gt;""),(OR($B$3="All",'Monthly Activity Log'!C63=$B$3)),(OR($E$3="All",'Monthly Activity Log'!B63=$E$3))),'Monthly Activity Log'!J63,"")</f>
        <v/>
      </c>
      <c r="K64" s="70">
        <f>IF(AND(('Monthly Activity Log'!C63&lt;&gt;""),(OR($B$3="All",'Monthly Activity Log'!C63=$B$3)),(OR($E$3="All",'Monthly Activity Log'!B63=$E$3))),'Monthly Activity Log'!K63,"")</f>
        <v/>
      </c>
    </row>
    <row r="65" ht="15.75" customHeight="1" s="65">
      <c r="A65" s="73">
        <f>IF(AND(('Monthly Activity Log'!C64&lt;&gt;""),(OR($B$3="All",'Monthly Activity Log'!C64=$B$3)),(OR($E$3="All",'Monthly Activity Log'!B64=$E$3))),ROW()-4,"")</f>
        <v/>
      </c>
      <c r="B65" s="74">
        <f>IF(AND(('Monthly Activity Log'!C64&lt;&gt;""),(OR($B$3="All",'Monthly Activity Log'!C64=$B$3)),(OR($E$3="All",'Monthly Activity Log'!B64=$E$3))),'Monthly Activity Log'!B64,"")</f>
        <v/>
      </c>
      <c r="C65" s="74">
        <f>IF(AND(('Monthly Activity Log'!C64&lt;&gt;""),(OR($B$3="All",'Monthly Activity Log'!C64=$B$3)),(OR($E$3="All",'Monthly Activity Log'!B64=$E$3))),'Monthly Activity Log'!C64,"")</f>
        <v/>
      </c>
      <c r="D65" s="74">
        <f>IF(AND(('Monthly Activity Log'!C64&lt;&gt;""),(OR($B$3="All",'Monthly Activity Log'!C64=$B$3)),(OR($E$3="All",'Monthly Activity Log'!B64=$E$3))),'Monthly Activity Log'!D64,"")</f>
        <v/>
      </c>
      <c r="E65" s="74">
        <f>IF(AND(('Monthly Activity Log'!C64&lt;&gt;""),(OR($B$3="All",'Monthly Activity Log'!C64=$B$3)),(OR($E$3="All",'Monthly Activity Log'!B64=$E$3))),'Monthly Activity Log'!E64,"")</f>
        <v/>
      </c>
      <c r="F65" s="74">
        <f>IF(AND(('Monthly Activity Log'!C64&lt;&gt;""),(OR($B$3="All",'Monthly Activity Log'!C64=$B$3)),(OR($E$3="All",'Monthly Activity Log'!B64=$E$3))),'Monthly Activity Log'!F64,"")</f>
        <v/>
      </c>
      <c r="G65" s="74">
        <f>IF(AND(('Monthly Activity Log'!C64&lt;&gt;""),(OR($B$3="All",'Monthly Activity Log'!C64=$B$3)),(OR($E$3="All",'Monthly Activity Log'!B64=$E$3))),'Monthly Activity Log'!G64,"")</f>
        <v/>
      </c>
      <c r="H65" s="74">
        <f>IF(AND(('Monthly Activity Log'!C64&lt;&gt;""),(OR($B$3="All",'Monthly Activity Log'!C64=$B$3)),(OR($E$3="All",'Monthly Activity Log'!B64=$E$3))),'Monthly Activity Log'!H64,"")</f>
        <v/>
      </c>
      <c r="I65" s="74">
        <f>IF(AND(('Monthly Activity Log'!C64&lt;&gt;""),(OR($B$3="All",'Monthly Activity Log'!C64=$B$3)),(OR($E$3="All",'Monthly Activity Log'!B64=$E$3))),'Monthly Activity Log'!I64,"")</f>
        <v/>
      </c>
      <c r="J65" s="74">
        <f>IF(AND(('Monthly Activity Log'!C64&lt;&gt;""),(OR($B$3="All",'Monthly Activity Log'!C64=$B$3)),(OR($E$3="All",'Monthly Activity Log'!B64=$E$3))),'Monthly Activity Log'!J64,"")</f>
        <v/>
      </c>
      <c r="K65" s="74">
        <f>IF(AND(('Monthly Activity Log'!C64&lt;&gt;""),(OR($B$3="All",'Monthly Activity Log'!C64=$B$3)),(OR($E$3="All",'Monthly Activity Log'!B64=$E$3))),'Monthly Activity Log'!K64,"")</f>
        <v/>
      </c>
    </row>
    <row r="66" ht="15.75" customHeight="1" s="65">
      <c r="A66" s="69">
        <f>IF(AND(('Monthly Activity Log'!C65&lt;&gt;""),(OR($B$3="All",'Monthly Activity Log'!C65=$B$3)),(OR($E$3="All",'Monthly Activity Log'!B65=$E$3))),ROW()-4,"")</f>
        <v/>
      </c>
      <c r="B66" s="70">
        <f>IF(AND(('Monthly Activity Log'!C65&lt;&gt;""),(OR($B$3="All",'Monthly Activity Log'!C65=$B$3)),(OR($E$3="All",'Monthly Activity Log'!B65=$E$3))),'Monthly Activity Log'!B65,"")</f>
        <v/>
      </c>
      <c r="C66" s="70">
        <f>IF(AND(('Monthly Activity Log'!C65&lt;&gt;""),(OR($B$3="All",'Monthly Activity Log'!C65=$B$3)),(OR($E$3="All",'Monthly Activity Log'!B65=$E$3))),'Monthly Activity Log'!C65,"")</f>
        <v/>
      </c>
      <c r="D66" s="70">
        <f>IF(AND(('Monthly Activity Log'!C65&lt;&gt;""),(OR($B$3="All",'Monthly Activity Log'!C65=$B$3)),(OR($E$3="All",'Monthly Activity Log'!B65=$E$3))),'Monthly Activity Log'!D65,"")</f>
        <v/>
      </c>
      <c r="E66" s="70">
        <f>IF(AND(('Monthly Activity Log'!C65&lt;&gt;""),(OR($B$3="All",'Monthly Activity Log'!C65=$B$3)),(OR($E$3="All",'Monthly Activity Log'!B65=$E$3))),'Monthly Activity Log'!E65,"")</f>
        <v/>
      </c>
      <c r="F66" s="70">
        <f>IF(AND(('Monthly Activity Log'!C65&lt;&gt;""),(OR($B$3="All",'Monthly Activity Log'!C65=$B$3)),(OR($E$3="All",'Monthly Activity Log'!B65=$E$3))),'Monthly Activity Log'!F65,"")</f>
        <v/>
      </c>
      <c r="G66" s="70">
        <f>IF(AND(('Monthly Activity Log'!C65&lt;&gt;""),(OR($B$3="All",'Monthly Activity Log'!C65=$B$3)),(OR($E$3="All",'Monthly Activity Log'!B65=$E$3))),'Monthly Activity Log'!G65,"")</f>
        <v/>
      </c>
      <c r="H66" s="70">
        <f>IF(AND(('Monthly Activity Log'!C65&lt;&gt;""),(OR($B$3="All",'Monthly Activity Log'!C65=$B$3)),(OR($E$3="All",'Monthly Activity Log'!B65=$E$3))),'Monthly Activity Log'!H65,"")</f>
        <v/>
      </c>
      <c r="I66" s="70">
        <f>IF(AND(('Monthly Activity Log'!C65&lt;&gt;""),(OR($B$3="All",'Monthly Activity Log'!C65=$B$3)),(OR($E$3="All",'Monthly Activity Log'!B65=$E$3))),'Monthly Activity Log'!I65,"")</f>
        <v/>
      </c>
      <c r="J66" s="70">
        <f>IF(AND(('Monthly Activity Log'!C65&lt;&gt;""),(OR($B$3="All",'Monthly Activity Log'!C65=$B$3)),(OR($E$3="All",'Monthly Activity Log'!B65=$E$3))),'Monthly Activity Log'!J65,"")</f>
        <v/>
      </c>
      <c r="K66" s="70">
        <f>IF(AND(('Monthly Activity Log'!C65&lt;&gt;""),(OR($B$3="All",'Monthly Activity Log'!C65=$B$3)),(OR($E$3="All",'Monthly Activity Log'!B65=$E$3))),'Monthly Activity Log'!K65,"")</f>
        <v/>
      </c>
    </row>
    <row r="67" ht="15.75" customHeight="1" s="65">
      <c r="A67" s="73">
        <f>IF(AND(('Monthly Activity Log'!C66&lt;&gt;""),(OR($B$3="All",'Monthly Activity Log'!C66=$B$3)),(OR($E$3="All",'Monthly Activity Log'!B66=$E$3))),ROW()-4,"")</f>
        <v/>
      </c>
      <c r="B67" s="74">
        <f>IF(AND(('Monthly Activity Log'!C66&lt;&gt;""),(OR($B$3="All",'Monthly Activity Log'!C66=$B$3)),(OR($E$3="All",'Monthly Activity Log'!B66=$E$3))),'Monthly Activity Log'!B66,"")</f>
        <v/>
      </c>
      <c r="C67" s="74">
        <f>IF(AND(('Monthly Activity Log'!C66&lt;&gt;""),(OR($B$3="All",'Monthly Activity Log'!C66=$B$3)),(OR($E$3="All",'Monthly Activity Log'!B66=$E$3))),'Monthly Activity Log'!C66,"")</f>
        <v/>
      </c>
      <c r="D67" s="74">
        <f>IF(AND(('Monthly Activity Log'!C66&lt;&gt;""),(OR($B$3="All",'Monthly Activity Log'!C66=$B$3)),(OR($E$3="All",'Monthly Activity Log'!B66=$E$3))),'Monthly Activity Log'!D66,"")</f>
        <v/>
      </c>
      <c r="E67" s="74">
        <f>IF(AND(('Monthly Activity Log'!C66&lt;&gt;""),(OR($B$3="All",'Monthly Activity Log'!C66=$B$3)),(OR($E$3="All",'Monthly Activity Log'!B66=$E$3))),'Monthly Activity Log'!E66,"")</f>
        <v/>
      </c>
      <c r="F67" s="74">
        <f>IF(AND(('Monthly Activity Log'!C66&lt;&gt;""),(OR($B$3="All",'Monthly Activity Log'!C66=$B$3)),(OR($E$3="All",'Monthly Activity Log'!B66=$E$3))),'Monthly Activity Log'!F66,"")</f>
        <v/>
      </c>
      <c r="G67" s="74">
        <f>IF(AND(('Monthly Activity Log'!C66&lt;&gt;""),(OR($B$3="All",'Monthly Activity Log'!C66=$B$3)),(OR($E$3="All",'Monthly Activity Log'!B66=$E$3))),'Monthly Activity Log'!G66,"")</f>
        <v/>
      </c>
      <c r="H67" s="74">
        <f>IF(AND(('Monthly Activity Log'!C66&lt;&gt;""),(OR($B$3="All",'Monthly Activity Log'!C66=$B$3)),(OR($E$3="All",'Monthly Activity Log'!B66=$E$3))),'Monthly Activity Log'!H66,"")</f>
        <v/>
      </c>
      <c r="I67" s="74">
        <f>IF(AND(('Monthly Activity Log'!C66&lt;&gt;""),(OR($B$3="All",'Monthly Activity Log'!C66=$B$3)),(OR($E$3="All",'Monthly Activity Log'!B66=$E$3))),'Monthly Activity Log'!I66,"")</f>
        <v/>
      </c>
      <c r="J67" s="74">
        <f>IF(AND(('Monthly Activity Log'!C66&lt;&gt;""),(OR($B$3="All",'Monthly Activity Log'!C66=$B$3)),(OR($E$3="All",'Monthly Activity Log'!B66=$E$3))),'Monthly Activity Log'!J66,"")</f>
        <v/>
      </c>
      <c r="K67" s="74">
        <f>IF(AND(('Monthly Activity Log'!C66&lt;&gt;""),(OR($B$3="All",'Monthly Activity Log'!C66=$B$3)),(OR($E$3="All",'Monthly Activity Log'!B66=$E$3))),'Monthly Activity Log'!K66,"")</f>
        <v/>
      </c>
    </row>
    <row r="68" ht="15.75" customHeight="1" s="65">
      <c r="A68" s="69">
        <f>IF(AND(('Monthly Activity Log'!C67&lt;&gt;""),(OR($B$3="All",'Monthly Activity Log'!C67=$B$3)),(OR($E$3="All",'Monthly Activity Log'!B67=$E$3))),ROW()-4,"")</f>
        <v/>
      </c>
      <c r="B68" s="70">
        <f>IF(AND(('Monthly Activity Log'!C67&lt;&gt;""),(OR($B$3="All",'Monthly Activity Log'!C67=$B$3)),(OR($E$3="All",'Monthly Activity Log'!B67=$E$3))),'Monthly Activity Log'!B67,"")</f>
        <v/>
      </c>
      <c r="C68" s="70">
        <f>IF(AND(('Monthly Activity Log'!C67&lt;&gt;""),(OR($B$3="All",'Monthly Activity Log'!C67=$B$3)),(OR($E$3="All",'Monthly Activity Log'!B67=$E$3))),'Monthly Activity Log'!C67,"")</f>
        <v/>
      </c>
      <c r="D68" s="70">
        <f>IF(AND(('Monthly Activity Log'!C67&lt;&gt;""),(OR($B$3="All",'Monthly Activity Log'!C67=$B$3)),(OR($E$3="All",'Monthly Activity Log'!B67=$E$3))),'Monthly Activity Log'!D67,"")</f>
        <v/>
      </c>
      <c r="E68" s="70">
        <f>IF(AND(('Monthly Activity Log'!C67&lt;&gt;""),(OR($B$3="All",'Monthly Activity Log'!C67=$B$3)),(OR($E$3="All",'Monthly Activity Log'!B67=$E$3))),'Monthly Activity Log'!E67,"")</f>
        <v/>
      </c>
      <c r="F68" s="70">
        <f>IF(AND(('Monthly Activity Log'!C67&lt;&gt;""),(OR($B$3="All",'Monthly Activity Log'!C67=$B$3)),(OR($E$3="All",'Monthly Activity Log'!B67=$E$3))),'Monthly Activity Log'!F67,"")</f>
        <v/>
      </c>
      <c r="G68" s="70">
        <f>IF(AND(('Monthly Activity Log'!C67&lt;&gt;""),(OR($B$3="All",'Monthly Activity Log'!C67=$B$3)),(OR($E$3="All",'Monthly Activity Log'!B67=$E$3))),'Monthly Activity Log'!G67,"")</f>
        <v/>
      </c>
      <c r="H68" s="70">
        <f>IF(AND(('Monthly Activity Log'!C67&lt;&gt;""),(OR($B$3="All",'Monthly Activity Log'!C67=$B$3)),(OR($E$3="All",'Monthly Activity Log'!B67=$E$3))),'Monthly Activity Log'!H67,"")</f>
        <v/>
      </c>
      <c r="I68" s="70">
        <f>IF(AND(('Monthly Activity Log'!C67&lt;&gt;""),(OR($B$3="All",'Monthly Activity Log'!C67=$B$3)),(OR($E$3="All",'Monthly Activity Log'!B67=$E$3))),'Monthly Activity Log'!I67,"")</f>
        <v/>
      </c>
      <c r="J68" s="70">
        <f>IF(AND(('Monthly Activity Log'!C67&lt;&gt;""),(OR($B$3="All",'Monthly Activity Log'!C67=$B$3)),(OR($E$3="All",'Monthly Activity Log'!B67=$E$3))),'Monthly Activity Log'!J67,"")</f>
        <v/>
      </c>
      <c r="K68" s="70">
        <f>IF(AND(('Monthly Activity Log'!C67&lt;&gt;""),(OR($B$3="All",'Monthly Activity Log'!C67=$B$3)),(OR($E$3="All",'Monthly Activity Log'!B67=$E$3))),'Monthly Activity Log'!K67,"")</f>
        <v/>
      </c>
    </row>
    <row r="69" ht="15.75" customHeight="1" s="65">
      <c r="A69" s="73">
        <f>IF(AND(('Monthly Activity Log'!C68&lt;&gt;""),(OR($B$3="All",'Monthly Activity Log'!C68=$B$3)),(OR($E$3="All",'Monthly Activity Log'!B68=$E$3))),ROW()-4,"")</f>
        <v/>
      </c>
      <c r="B69" s="74">
        <f>IF(AND(('Monthly Activity Log'!C68&lt;&gt;""),(OR($B$3="All",'Monthly Activity Log'!C68=$B$3)),(OR($E$3="All",'Monthly Activity Log'!B68=$E$3))),'Monthly Activity Log'!B68,"")</f>
        <v/>
      </c>
      <c r="C69" s="74">
        <f>IF(AND(('Monthly Activity Log'!C68&lt;&gt;""),(OR($B$3="All",'Monthly Activity Log'!C68=$B$3)),(OR($E$3="All",'Monthly Activity Log'!B68=$E$3))),'Monthly Activity Log'!C68,"")</f>
        <v/>
      </c>
      <c r="D69" s="74">
        <f>IF(AND(('Monthly Activity Log'!C68&lt;&gt;""),(OR($B$3="All",'Monthly Activity Log'!C68=$B$3)),(OR($E$3="All",'Monthly Activity Log'!B68=$E$3))),'Monthly Activity Log'!D68,"")</f>
        <v/>
      </c>
      <c r="E69" s="74">
        <f>IF(AND(('Monthly Activity Log'!C68&lt;&gt;""),(OR($B$3="All",'Monthly Activity Log'!C68=$B$3)),(OR($E$3="All",'Monthly Activity Log'!B68=$E$3))),'Monthly Activity Log'!E68,"")</f>
        <v/>
      </c>
      <c r="F69" s="74">
        <f>IF(AND(('Monthly Activity Log'!C68&lt;&gt;""),(OR($B$3="All",'Monthly Activity Log'!C68=$B$3)),(OR($E$3="All",'Monthly Activity Log'!B68=$E$3))),'Monthly Activity Log'!F68,"")</f>
        <v/>
      </c>
      <c r="G69" s="74">
        <f>IF(AND(('Monthly Activity Log'!C68&lt;&gt;""),(OR($B$3="All",'Monthly Activity Log'!C68=$B$3)),(OR($E$3="All",'Monthly Activity Log'!B68=$E$3))),'Monthly Activity Log'!G68,"")</f>
        <v/>
      </c>
      <c r="H69" s="74">
        <f>IF(AND(('Monthly Activity Log'!C68&lt;&gt;""),(OR($B$3="All",'Monthly Activity Log'!C68=$B$3)),(OR($E$3="All",'Monthly Activity Log'!B68=$E$3))),'Monthly Activity Log'!H68,"")</f>
        <v/>
      </c>
      <c r="I69" s="74">
        <f>IF(AND(('Monthly Activity Log'!C68&lt;&gt;""),(OR($B$3="All",'Monthly Activity Log'!C68=$B$3)),(OR($E$3="All",'Monthly Activity Log'!B68=$E$3))),'Monthly Activity Log'!I68,"")</f>
        <v/>
      </c>
      <c r="J69" s="74">
        <f>IF(AND(('Monthly Activity Log'!C68&lt;&gt;""),(OR($B$3="All",'Monthly Activity Log'!C68=$B$3)),(OR($E$3="All",'Monthly Activity Log'!B68=$E$3))),'Monthly Activity Log'!J68,"")</f>
        <v/>
      </c>
      <c r="K69" s="74">
        <f>IF(AND(('Monthly Activity Log'!C68&lt;&gt;""),(OR($B$3="All",'Monthly Activity Log'!C68=$B$3)),(OR($E$3="All",'Monthly Activity Log'!B68=$E$3))),'Monthly Activity Log'!K68,"")</f>
        <v/>
      </c>
    </row>
    <row r="70" ht="15.75" customHeight="1" s="65">
      <c r="A70" s="69">
        <f>IF(AND(('Monthly Activity Log'!C69&lt;&gt;""),(OR($B$3="All",'Monthly Activity Log'!C69=$B$3)),(OR($E$3="All",'Monthly Activity Log'!B69=$E$3))),ROW()-4,"")</f>
        <v/>
      </c>
      <c r="B70" s="70">
        <f>IF(AND(('Monthly Activity Log'!C69&lt;&gt;""),(OR($B$3="All",'Monthly Activity Log'!C69=$B$3)),(OR($E$3="All",'Monthly Activity Log'!B69=$E$3))),'Monthly Activity Log'!B69,"")</f>
        <v/>
      </c>
      <c r="C70" s="70">
        <f>IF(AND(('Monthly Activity Log'!C69&lt;&gt;""),(OR($B$3="All",'Monthly Activity Log'!C69=$B$3)),(OR($E$3="All",'Monthly Activity Log'!B69=$E$3))),'Monthly Activity Log'!C69,"")</f>
        <v/>
      </c>
      <c r="D70" s="70">
        <f>IF(AND(('Monthly Activity Log'!C69&lt;&gt;""),(OR($B$3="All",'Monthly Activity Log'!C69=$B$3)),(OR($E$3="All",'Monthly Activity Log'!B69=$E$3))),'Monthly Activity Log'!D69,"")</f>
        <v/>
      </c>
      <c r="E70" s="70">
        <f>IF(AND(('Monthly Activity Log'!C69&lt;&gt;""),(OR($B$3="All",'Monthly Activity Log'!C69=$B$3)),(OR($E$3="All",'Monthly Activity Log'!B69=$E$3))),'Monthly Activity Log'!E69,"")</f>
        <v/>
      </c>
      <c r="F70" s="70">
        <f>IF(AND(('Monthly Activity Log'!C69&lt;&gt;""),(OR($B$3="All",'Monthly Activity Log'!C69=$B$3)),(OR($E$3="All",'Monthly Activity Log'!B69=$E$3))),'Monthly Activity Log'!F69,"")</f>
        <v/>
      </c>
      <c r="G70" s="70">
        <f>IF(AND(('Monthly Activity Log'!C69&lt;&gt;""),(OR($B$3="All",'Monthly Activity Log'!C69=$B$3)),(OR($E$3="All",'Monthly Activity Log'!B69=$E$3))),'Monthly Activity Log'!G69,"")</f>
        <v/>
      </c>
      <c r="H70" s="70">
        <f>IF(AND(('Monthly Activity Log'!C69&lt;&gt;""),(OR($B$3="All",'Monthly Activity Log'!C69=$B$3)),(OR($E$3="All",'Monthly Activity Log'!B69=$E$3))),'Monthly Activity Log'!H69,"")</f>
        <v/>
      </c>
      <c r="I70" s="70">
        <f>IF(AND(('Monthly Activity Log'!C69&lt;&gt;""),(OR($B$3="All",'Monthly Activity Log'!C69=$B$3)),(OR($E$3="All",'Monthly Activity Log'!B69=$E$3))),'Monthly Activity Log'!I69,"")</f>
        <v/>
      </c>
      <c r="J70" s="70">
        <f>IF(AND(('Monthly Activity Log'!C69&lt;&gt;""),(OR($B$3="All",'Monthly Activity Log'!C69=$B$3)),(OR($E$3="All",'Monthly Activity Log'!B69=$E$3))),'Monthly Activity Log'!J69,"")</f>
        <v/>
      </c>
      <c r="K70" s="70">
        <f>IF(AND(('Monthly Activity Log'!C69&lt;&gt;""),(OR($B$3="All",'Monthly Activity Log'!C69=$B$3)),(OR($E$3="All",'Monthly Activity Log'!B69=$E$3))),'Monthly Activity Log'!K69,"")</f>
        <v/>
      </c>
    </row>
    <row r="71" ht="15.75" customHeight="1" s="65">
      <c r="A71" s="73">
        <f>IF(AND(('Monthly Activity Log'!C70&lt;&gt;""),(OR($B$3="All",'Monthly Activity Log'!C70=$B$3)),(OR($E$3="All",'Monthly Activity Log'!B70=$E$3))),ROW()-4,"")</f>
        <v/>
      </c>
      <c r="B71" s="74">
        <f>IF(AND(('Monthly Activity Log'!C70&lt;&gt;""),(OR($B$3="All",'Monthly Activity Log'!C70=$B$3)),(OR($E$3="All",'Monthly Activity Log'!B70=$E$3))),'Monthly Activity Log'!B70,"")</f>
        <v/>
      </c>
      <c r="C71" s="74">
        <f>IF(AND(('Monthly Activity Log'!C70&lt;&gt;""),(OR($B$3="All",'Monthly Activity Log'!C70=$B$3)),(OR($E$3="All",'Monthly Activity Log'!B70=$E$3))),'Monthly Activity Log'!C70,"")</f>
        <v/>
      </c>
      <c r="D71" s="74">
        <f>IF(AND(('Monthly Activity Log'!C70&lt;&gt;""),(OR($B$3="All",'Monthly Activity Log'!C70=$B$3)),(OR($E$3="All",'Monthly Activity Log'!B70=$E$3))),'Monthly Activity Log'!D70,"")</f>
        <v/>
      </c>
      <c r="E71" s="74">
        <f>IF(AND(('Monthly Activity Log'!C70&lt;&gt;""),(OR($B$3="All",'Monthly Activity Log'!C70=$B$3)),(OR($E$3="All",'Monthly Activity Log'!B70=$E$3))),'Monthly Activity Log'!E70,"")</f>
        <v/>
      </c>
      <c r="F71" s="74">
        <f>IF(AND(('Monthly Activity Log'!C70&lt;&gt;""),(OR($B$3="All",'Monthly Activity Log'!C70=$B$3)),(OR($E$3="All",'Monthly Activity Log'!B70=$E$3))),'Monthly Activity Log'!F70,"")</f>
        <v/>
      </c>
      <c r="G71" s="74">
        <f>IF(AND(('Monthly Activity Log'!C70&lt;&gt;""),(OR($B$3="All",'Monthly Activity Log'!C70=$B$3)),(OR($E$3="All",'Monthly Activity Log'!B70=$E$3))),'Monthly Activity Log'!G70,"")</f>
        <v/>
      </c>
      <c r="H71" s="74">
        <f>IF(AND(('Monthly Activity Log'!C70&lt;&gt;""),(OR($B$3="All",'Monthly Activity Log'!C70=$B$3)),(OR($E$3="All",'Monthly Activity Log'!B70=$E$3))),'Monthly Activity Log'!H70,"")</f>
        <v/>
      </c>
      <c r="I71" s="74">
        <f>IF(AND(('Monthly Activity Log'!C70&lt;&gt;""),(OR($B$3="All",'Monthly Activity Log'!C70=$B$3)),(OR($E$3="All",'Monthly Activity Log'!B70=$E$3))),'Monthly Activity Log'!I70,"")</f>
        <v/>
      </c>
      <c r="J71" s="74">
        <f>IF(AND(('Monthly Activity Log'!C70&lt;&gt;""),(OR($B$3="All",'Monthly Activity Log'!C70=$B$3)),(OR($E$3="All",'Monthly Activity Log'!B70=$E$3))),'Monthly Activity Log'!J70,"")</f>
        <v/>
      </c>
      <c r="K71" s="74">
        <f>IF(AND(('Monthly Activity Log'!C70&lt;&gt;""),(OR($B$3="All",'Monthly Activity Log'!C70=$B$3)),(OR($E$3="All",'Monthly Activity Log'!B70=$E$3))),'Monthly Activity Log'!K70,"")</f>
        <v/>
      </c>
    </row>
    <row r="72" ht="15.75" customHeight="1" s="65">
      <c r="A72" s="69">
        <f>IF(AND(('Monthly Activity Log'!C71&lt;&gt;""),(OR($B$3="All",'Monthly Activity Log'!C71=$B$3)),(OR($E$3="All",'Monthly Activity Log'!B71=$E$3))),ROW()-4,"")</f>
        <v/>
      </c>
      <c r="B72" s="70">
        <f>IF(AND(('Monthly Activity Log'!C71&lt;&gt;""),(OR($B$3="All",'Monthly Activity Log'!C71=$B$3)),(OR($E$3="All",'Monthly Activity Log'!B71=$E$3))),'Monthly Activity Log'!B71,"")</f>
        <v/>
      </c>
      <c r="C72" s="70">
        <f>IF(AND(('Monthly Activity Log'!C71&lt;&gt;""),(OR($B$3="All",'Monthly Activity Log'!C71=$B$3)),(OR($E$3="All",'Monthly Activity Log'!B71=$E$3))),'Monthly Activity Log'!C71,"")</f>
        <v/>
      </c>
      <c r="D72" s="70">
        <f>IF(AND(('Monthly Activity Log'!C71&lt;&gt;""),(OR($B$3="All",'Monthly Activity Log'!C71=$B$3)),(OR($E$3="All",'Monthly Activity Log'!B71=$E$3))),'Monthly Activity Log'!D71,"")</f>
        <v/>
      </c>
      <c r="E72" s="70">
        <f>IF(AND(('Monthly Activity Log'!C71&lt;&gt;""),(OR($B$3="All",'Monthly Activity Log'!C71=$B$3)),(OR($E$3="All",'Monthly Activity Log'!B71=$E$3))),'Monthly Activity Log'!E71,"")</f>
        <v/>
      </c>
      <c r="F72" s="70">
        <f>IF(AND(('Monthly Activity Log'!C71&lt;&gt;""),(OR($B$3="All",'Monthly Activity Log'!C71=$B$3)),(OR($E$3="All",'Monthly Activity Log'!B71=$E$3))),'Monthly Activity Log'!F71,"")</f>
        <v/>
      </c>
      <c r="G72" s="70">
        <f>IF(AND(('Monthly Activity Log'!C71&lt;&gt;""),(OR($B$3="All",'Monthly Activity Log'!C71=$B$3)),(OR($E$3="All",'Monthly Activity Log'!B71=$E$3))),'Monthly Activity Log'!G71,"")</f>
        <v/>
      </c>
      <c r="H72" s="70">
        <f>IF(AND(('Monthly Activity Log'!C71&lt;&gt;""),(OR($B$3="All",'Monthly Activity Log'!C71=$B$3)),(OR($E$3="All",'Monthly Activity Log'!B71=$E$3))),'Monthly Activity Log'!H71,"")</f>
        <v/>
      </c>
      <c r="I72" s="70">
        <f>IF(AND(('Monthly Activity Log'!C71&lt;&gt;""),(OR($B$3="All",'Monthly Activity Log'!C71=$B$3)),(OR($E$3="All",'Monthly Activity Log'!B71=$E$3))),'Monthly Activity Log'!I71,"")</f>
        <v/>
      </c>
      <c r="J72" s="70">
        <f>IF(AND(('Monthly Activity Log'!C71&lt;&gt;""),(OR($B$3="All",'Monthly Activity Log'!C71=$B$3)),(OR($E$3="All",'Monthly Activity Log'!B71=$E$3))),'Monthly Activity Log'!J71,"")</f>
        <v/>
      </c>
      <c r="K72" s="70">
        <f>IF(AND(('Monthly Activity Log'!C71&lt;&gt;""),(OR($B$3="All",'Monthly Activity Log'!C71=$B$3)),(OR($E$3="All",'Monthly Activity Log'!B71=$E$3))),'Monthly Activity Log'!K71,"")</f>
        <v/>
      </c>
    </row>
    <row r="73" ht="15.75" customHeight="1" s="65">
      <c r="A73" s="73">
        <f>IF(AND(('Monthly Activity Log'!C72&lt;&gt;""),(OR($B$3="All",'Monthly Activity Log'!C72=$B$3)),(OR($E$3="All",'Monthly Activity Log'!B72=$E$3))),ROW()-4,"")</f>
        <v/>
      </c>
      <c r="B73" s="74">
        <f>IF(AND(('Monthly Activity Log'!C72&lt;&gt;""),(OR($B$3="All",'Monthly Activity Log'!C72=$B$3)),(OR($E$3="All",'Monthly Activity Log'!B72=$E$3))),'Monthly Activity Log'!B72,"")</f>
        <v/>
      </c>
      <c r="C73" s="74">
        <f>IF(AND(('Monthly Activity Log'!C72&lt;&gt;""),(OR($B$3="All",'Monthly Activity Log'!C72=$B$3)),(OR($E$3="All",'Monthly Activity Log'!B72=$E$3))),'Monthly Activity Log'!C72,"")</f>
        <v/>
      </c>
      <c r="D73" s="74">
        <f>IF(AND(('Monthly Activity Log'!C72&lt;&gt;""),(OR($B$3="All",'Monthly Activity Log'!C72=$B$3)),(OR($E$3="All",'Monthly Activity Log'!B72=$E$3))),'Monthly Activity Log'!D72,"")</f>
        <v/>
      </c>
      <c r="E73" s="74">
        <f>IF(AND(('Monthly Activity Log'!C72&lt;&gt;""),(OR($B$3="All",'Monthly Activity Log'!C72=$B$3)),(OR($E$3="All",'Monthly Activity Log'!B72=$E$3))),'Monthly Activity Log'!E72,"")</f>
        <v/>
      </c>
      <c r="F73" s="74">
        <f>IF(AND(('Monthly Activity Log'!C72&lt;&gt;""),(OR($B$3="All",'Monthly Activity Log'!C72=$B$3)),(OR($E$3="All",'Monthly Activity Log'!B72=$E$3))),'Monthly Activity Log'!F72,"")</f>
        <v/>
      </c>
      <c r="G73" s="74">
        <f>IF(AND(('Monthly Activity Log'!C72&lt;&gt;""),(OR($B$3="All",'Monthly Activity Log'!C72=$B$3)),(OR($E$3="All",'Monthly Activity Log'!B72=$E$3))),'Monthly Activity Log'!G72,"")</f>
        <v/>
      </c>
      <c r="H73" s="74">
        <f>IF(AND(('Monthly Activity Log'!C72&lt;&gt;""),(OR($B$3="All",'Monthly Activity Log'!C72=$B$3)),(OR($E$3="All",'Monthly Activity Log'!B72=$E$3))),'Monthly Activity Log'!H72,"")</f>
        <v/>
      </c>
      <c r="I73" s="74">
        <f>IF(AND(('Monthly Activity Log'!C72&lt;&gt;""),(OR($B$3="All",'Monthly Activity Log'!C72=$B$3)),(OR($E$3="All",'Monthly Activity Log'!B72=$E$3))),'Monthly Activity Log'!I72,"")</f>
        <v/>
      </c>
      <c r="J73" s="74">
        <f>IF(AND(('Monthly Activity Log'!C72&lt;&gt;""),(OR($B$3="All",'Monthly Activity Log'!C72=$B$3)),(OR($E$3="All",'Monthly Activity Log'!B72=$E$3))),'Monthly Activity Log'!J72,"")</f>
        <v/>
      </c>
      <c r="K73" s="74">
        <f>IF(AND(('Monthly Activity Log'!C72&lt;&gt;""),(OR($B$3="All",'Monthly Activity Log'!C72=$B$3)),(OR($E$3="All",'Monthly Activity Log'!B72=$E$3))),'Monthly Activity Log'!K72,"")</f>
        <v/>
      </c>
    </row>
    <row r="74" ht="15.75" customHeight="1" s="65">
      <c r="A74" s="69">
        <f>IF(AND(('Monthly Activity Log'!C73&lt;&gt;""),(OR($B$3="All",'Monthly Activity Log'!C73=$B$3)),(OR($E$3="All",'Monthly Activity Log'!B73=$E$3))),ROW()-4,"")</f>
        <v/>
      </c>
      <c r="B74" s="70">
        <f>IF(AND(('Monthly Activity Log'!C73&lt;&gt;""),(OR($B$3="All",'Monthly Activity Log'!C73=$B$3)),(OR($E$3="All",'Monthly Activity Log'!B73=$E$3))),'Monthly Activity Log'!B73,"")</f>
        <v/>
      </c>
      <c r="C74" s="70">
        <f>IF(AND(('Monthly Activity Log'!C73&lt;&gt;""),(OR($B$3="All",'Monthly Activity Log'!C73=$B$3)),(OR($E$3="All",'Monthly Activity Log'!B73=$E$3))),'Monthly Activity Log'!C73,"")</f>
        <v/>
      </c>
      <c r="D74" s="70">
        <f>IF(AND(('Monthly Activity Log'!C73&lt;&gt;""),(OR($B$3="All",'Monthly Activity Log'!C73=$B$3)),(OR($E$3="All",'Monthly Activity Log'!B73=$E$3))),'Monthly Activity Log'!D73,"")</f>
        <v/>
      </c>
      <c r="E74" s="70">
        <f>IF(AND(('Monthly Activity Log'!C73&lt;&gt;""),(OR($B$3="All",'Monthly Activity Log'!C73=$B$3)),(OR($E$3="All",'Monthly Activity Log'!B73=$E$3))),'Monthly Activity Log'!E73,"")</f>
        <v/>
      </c>
      <c r="F74" s="70">
        <f>IF(AND(('Monthly Activity Log'!C73&lt;&gt;""),(OR($B$3="All",'Monthly Activity Log'!C73=$B$3)),(OR($E$3="All",'Monthly Activity Log'!B73=$E$3))),'Monthly Activity Log'!F73,"")</f>
        <v/>
      </c>
      <c r="G74" s="70">
        <f>IF(AND(('Monthly Activity Log'!C73&lt;&gt;""),(OR($B$3="All",'Monthly Activity Log'!C73=$B$3)),(OR($E$3="All",'Monthly Activity Log'!B73=$E$3))),'Monthly Activity Log'!G73,"")</f>
        <v/>
      </c>
      <c r="H74" s="70">
        <f>IF(AND(('Monthly Activity Log'!C73&lt;&gt;""),(OR($B$3="All",'Monthly Activity Log'!C73=$B$3)),(OR($E$3="All",'Monthly Activity Log'!B73=$E$3))),'Monthly Activity Log'!H73,"")</f>
        <v/>
      </c>
      <c r="I74" s="70">
        <f>IF(AND(('Monthly Activity Log'!C73&lt;&gt;""),(OR($B$3="All",'Monthly Activity Log'!C73=$B$3)),(OR($E$3="All",'Monthly Activity Log'!B73=$E$3))),'Monthly Activity Log'!I73,"")</f>
        <v/>
      </c>
      <c r="J74" s="70">
        <f>IF(AND(('Monthly Activity Log'!C73&lt;&gt;""),(OR($B$3="All",'Monthly Activity Log'!C73=$B$3)),(OR($E$3="All",'Monthly Activity Log'!B73=$E$3))),'Monthly Activity Log'!J73,"")</f>
        <v/>
      </c>
      <c r="K74" s="70">
        <f>IF(AND(('Monthly Activity Log'!C73&lt;&gt;""),(OR($B$3="All",'Monthly Activity Log'!C73=$B$3)),(OR($E$3="All",'Monthly Activity Log'!B73=$E$3))),'Monthly Activity Log'!K73,"")</f>
        <v/>
      </c>
    </row>
    <row r="75" ht="15.75" customHeight="1" s="65">
      <c r="A75" s="73">
        <f>IF(AND(('Monthly Activity Log'!C74&lt;&gt;""),(OR($B$3="All",'Monthly Activity Log'!C74=$B$3)),(OR($E$3="All",'Monthly Activity Log'!B74=$E$3))),ROW()-4,"")</f>
        <v/>
      </c>
      <c r="B75" s="74">
        <f>IF(AND(('Monthly Activity Log'!C74&lt;&gt;""),(OR($B$3="All",'Monthly Activity Log'!C74=$B$3)),(OR($E$3="All",'Monthly Activity Log'!B74=$E$3))),'Monthly Activity Log'!B74,"")</f>
        <v/>
      </c>
      <c r="C75" s="74">
        <f>IF(AND(('Monthly Activity Log'!C74&lt;&gt;""),(OR($B$3="All",'Monthly Activity Log'!C74=$B$3)),(OR($E$3="All",'Monthly Activity Log'!B74=$E$3))),'Monthly Activity Log'!C74,"")</f>
        <v/>
      </c>
      <c r="D75" s="74">
        <f>IF(AND(('Monthly Activity Log'!C74&lt;&gt;""),(OR($B$3="All",'Monthly Activity Log'!C74=$B$3)),(OR($E$3="All",'Monthly Activity Log'!B74=$E$3))),'Monthly Activity Log'!D74,"")</f>
        <v/>
      </c>
      <c r="E75" s="74">
        <f>IF(AND(('Monthly Activity Log'!C74&lt;&gt;""),(OR($B$3="All",'Monthly Activity Log'!C74=$B$3)),(OR($E$3="All",'Monthly Activity Log'!B74=$E$3))),'Monthly Activity Log'!E74,"")</f>
        <v/>
      </c>
      <c r="F75" s="74">
        <f>IF(AND(('Monthly Activity Log'!C74&lt;&gt;""),(OR($B$3="All",'Monthly Activity Log'!C74=$B$3)),(OR($E$3="All",'Monthly Activity Log'!B74=$E$3))),'Monthly Activity Log'!F74,"")</f>
        <v/>
      </c>
      <c r="G75" s="74">
        <f>IF(AND(('Monthly Activity Log'!C74&lt;&gt;""),(OR($B$3="All",'Monthly Activity Log'!C74=$B$3)),(OR($E$3="All",'Monthly Activity Log'!B74=$E$3))),'Monthly Activity Log'!G74,"")</f>
        <v/>
      </c>
      <c r="H75" s="74">
        <f>IF(AND(('Monthly Activity Log'!C74&lt;&gt;""),(OR($B$3="All",'Monthly Activity Log'!C74=$B$3)),(OR($E$3="All",'Monthly Activity Log'!B74=$E$3))),'Monthly Activity Log'!H74,"")</f>
        <v/>
      </c>
      <c r="I75" s="74">
        <f>IF(AND(('Monthly Activity Log'!C74&lt;&gt;""),(OR($B$3="All",'Monthly Activity Log'!C74=$B$3)),(OR($E$3="All",'Monthly Activity Log'!B74=$E$3))),'Monthly Activity Log'!I74,"")</f>
        <v/>
      </c>
      <c r="J75" s="74">
        <f>IF(AND(('Monthly Activity Log'!C74&lt;&gt;""),(OR($B$3="All",'Monthly Activity Log'!C74=$B$3)),(OR($E$3="All",'Monthly Activity Log'!B74=$E$3))),'Monthly Activity Log'!J74,"")</f>
        <v/>
      </c>
      <c r="K75" s="74">
        <f>IF(AND(('Monthly Activity Log'!C74&lt;&gt;""),(OR($B$3="All",'Monthly Activity Log'!C74=$B$3)),(OR($E$3="All",'Monthly Activity Log'!B74=$E$3))),'Monthly Activity Log'!K74,"")</f>
        <v/>
      </c>
    </row>
    <row r="76" ht="15.75" customHeight="1" s="65">
      <c r="A76" s="69">
        <f>IF(AND(('Monthly Activity Log'!C75&lt;&gt;""),(OR($B$3="All",'Monthly Activity Log'!C75=$B$3)),(OR($E$3="All",'Monthly Activity Log'!B75=$E$3))),ROW()-4,"")</f>
        <v/>
      </c>
      <c r="B76" s="70">
        <f>IF(AND(('Monthly Activity Log'!C75&lt;&gt;""),(OR($B$3="All",'Monthly Activity Log'!C75=$B$3)),(OR($E$3="All",'Monthly Activity Log'!B75=$E$3))),'Monthly Activity Log'!B75,"")</f>
        <v/>
      </c>
      <c r="C76" s="70">
        <f>IF(AND(('Monthly Activity Log'!C75&lt;&gt;""),(OR($B$3="All",'Monthly Activity Log'!C75=$B$3)),(OR($E$3="All",'Monthly Activity Log'!B75=$E$3))),'Monthly Activity Log'!C75,"")</f>
        <v/>
      </c>
      <c r="D76" s="70">
        <f>IF(AND(('Monthly Activity Log'!C75&lt;&gt;""),(OR($B$3="All",'Monthly Activity Log'!C75=$B$3)),(OR($E$3="All",'Monthly Activity Log'!B75=$E$3))),'Monthly Activity Log'!D75,"")</f>
        <v/>
      </c>
      <c r="E76" s="70">
        <f>IF(AND(('Monthly Activity Log'!C75&lt;&gt;""),(OR($B$3="All",'Monthly Activity Log'!C75=$B$3)),(OR($E$3="All",'Monthly Activity Log'!B75=$E$3))),'Monthly Activity Log'!E75,"")</f>
        <v/>
      </c>
      <c r="F76" s="70">
        <f>IF(AND(('Monthly Activity Log'!C75&lt;&gt;""),(OR($B$3="All",'Monthly Activity Log'!C75=$B$3)),(OR($E$3="All",'Monthly Activity Log'!B75=$E$3))),'Monthly Activity Log'!F75,"")</f>
        <v/>
      </c>
      <c r="G76" s="70">
        <f>IF(AND(('Monthly Activity Log'!C75&lt;&gt;""),(OR($B$3="All",'Monthly Activity Log'!C75=$B$3)),(OR($E$3="All",'Monthly Activity Log'!B75=$E$3))),'Monthly Activity Log'!G75,"")</f>
        <v/>
      </c>
      <c r="H76" s="70">
        <f>IF(AND(('Monthly Activity Log'!C75&lt;&gt;""),(OR($B$3="All",'Monthly Activity Log'!C75=$B$3)),(OR($E$3="All",'Monthly Activity Log'!B75=$E$3))),'Monthly Activity Log'!H75,"")</f>
        <v/>
      </c>
      <c r="I76" s="70">
        <f>IF(AND(('Monthly Activity Log'!C75&lt;&gt;""),(OR($B$3="All",'Monthly Activity Log'!C75=$B$3)),(OR($E$3="All",'Monthly Activity Log'!B75=$E$3))),'Monthly Activity Log'!I75,"")</f>
        <v/>
      </c>
      <c r="J76" s="70">
        <f>IF(AND(('Monthly Activity Log'!C75&lt;&gt;""),(OR($B$3="All",'Monthly Activity Log'!C75=$B$3)),(OR($E$3="All",'Monthly Activity Log'!B75=$E$3))),'Monthly Activity Log'!J75,"")</f>
        <v/>
      </c>
      <c r="K76" s="70">
        <f>IF(AND(('Monthly Activity Log'!C75&lt;&gt;""),(OR($B$3="All",'Monthly Activity Log'!C75=$B$3)),(OR($E$3="All",'Monthly Activity Log'!B75=$E$3))),'Monthly Activity Log'!K75,"")</f>
        <v/>
      </c>
    </row>
    <row r="77" ht="15.75" customHeight="1" s="65">
      <c r="A77" s="73">
        <f>IF(AND(('Monthly Activity Log'!C76&lt;&gt;""),(OR($B$3="All",'Monthly Activity Log'!C76=$B$3)),(OR($E$3="All",'Monthly Activity Log'!B76=$E$3))),ROW()-4,"")</f>
        <v/>
      </c>
      <c r="B77" s="74">
        <f>IF(AND(('Monthly Activity Log'!C76&lt;&gt;""),(OR($B$3="All",'Monthly Activity Log'!C76=$B$3)),(OR($E$3="All",'Monthly Activity Log'!B76=$E$3))),'Monthly Activity Log'!B76,"")</f>
        <v/>
      </c>
      <c r="C77" s="74">
        <f>IF(AND(('Monthly Activity Log'!C76&lt;&gt;""),(OR($B$3="All",'Monthly Activity Log'!C76=$B$3)),(OR($E$3="All",'Monthly Activity Log'!B76=$E$3))),'Monthly Activity Log'!C76,"")</f>
        <v/>
      </c>
      <c r="D77" s="74">
        <f>IF(AND(('Monthly Activity Log'!C76&lt;&gt;""),(OR($B$3="All",'Monthly Activity Log'!C76=$B$3)),(OR($E$3="All",'Monthly Activity Log'!B76=$E$3))),'Monthly Activity Log'!D76,"")</f>
        <v/>
      </c>
      <c r="E77" s="74">
        <f>IF(AND(('Monthly Activity Log'!C76&lt;&gt;""),(OR($B$3="All",'Monthly Activity Log'!C76=$B$3)),(OR($E$3="All",'Monthly Activity Log'!B76=$E$3))),'Monthly Activity Log'!E76,"")</f>
        <v/>
      </c>
      <c r="F77" s="74">
        <f>IF(AND(('Monthly Activity Log'!C76&lt;&gt;""),(OR($B$3="All",'Monthly Activity Log'!C76=$B$3)),(OR($E$3="All",'Monthly Activity Log'!B76=$E$3))),'Monthly Activity Log'!F76,"")</f>
        <v/>
      </c>
      <c r="G77" s="74">
        <f>IF(AND(('Monthly Activity Log'!C76&lt;&gt;""),(OR($B$3="All",'Monthly Activity Log'!C76=$B$3)),(OR($E$3="All",'Monthly Activity Log'!B76=$E$3))),'Monthly Activity Log'!G76,"")</f>
        <v/>
      </c>
      <c r="H77" s="74">
        <f>IF(AND(('Monthly Activity Log'!C76&lt;&gt;""),(OR($B$3="All",'Monthly Activity Log'!C76=$B$3)),(OR($E$3="All",'Monthly Activity Log'!B76=$E$3))),'Monthly Activity Log'!H76,"")</f>
        <v/>
      </c>
      <c r="I77" s="74">
        <f>IF(AND(('Monthly Activity Log'!C76&lt;&gt;""),(OR($B$3="All",'Monthly Activity Log'!C76=$B$3)),(OR($E$3="All",'Monthly Activity Log'!B76=$E$3))),'Monthly Activity Log'!I76,"")</f>
        <v/>
      </c>
      <c r="J77" s="74">
        <f>IF(AND(('Monthly Activity Log'!C76&lt;&gt;""),(OR($B$3="All",'Monthly Activity Log'!C76=$B$3)),(OR($E$3="All",'Monthly Activity Log'!B76=$E$3))),'Monthly Activity Log'!J76,"")</f>
        <v/>
      </c>
      <c r="K77" s="74">
        <f>IF(AND(('Monthly Activity Log'!C76&lt;&gt;""),(OR($B$3="All",'Monthly Activity Log'!C76=$B$3)),(OR($E$3="All",'Monthly Activity Log'!B76=$E$3))),'Monthly Activity Log'!K76,"")</f>
        <v/>
      </c>
    </row>
    <row r="78" ht="15.75" customHeight="1" s="65">
      <c r="A78" s="69">
        <f>IF(AND(('Monthly Activity Log'!C77&lt;&gt;""),(OR($B$3="All",'Monthly Activity Log'!C77=$B$3)),(OR($E$3="All",'Monthly Activity Log'!B77=$E$3))),ROW()-4,"")</f>
        <v/>
      </c>
      <c r="B78" s="70">
        <f>IF(AND(('Monthly Activity Log'!C77&lt;&gt;""),(OR($B$3="All",'Monthly Activity Log'!C77=$B$3)),(OR($E$3="All",'Monthly Activity Log'!B77=$E$3))),'Monthly Activity Log'!B77,"")</f>
        <v/>
      </c>
      <c r="C78" s="70">
        <f>IF(AND(('Monthly Activity Log'!C77&lt;&gt;""),(OR($B$3="All",'Monthly Activity Log'!C77=$B$3)),(OR($E$3="All",'Monthly Activity Log'!B77=$E$3))),'Monthly Activity Log'!C77,"")</f>
        <v/>
      </c>
      <c r="D78" s="70">
        <f>IF(AND(('Monthly Activity Log'!C77&lt;&gt;""),(OR($B$3="All",'Monthly Activity Log'!C77=$B$3)),(OR($E$3="All",'Monthly Activity Log'!B77=$E$3))),'Monthly Activity Log'!D77,"")</f>
        <v/>
      </c>
      <c r="E78" s="70">
        <f>IF(AND(('Monthly Activity Log'!C77&lt;&gt;""),(OR($B$3="All",'Monthly Activity Log'!C77=$B$3)),(OR($E$3="All",'Monthly Activity Log'!B77=$E$3))),'Monthly Activity Log'!E77,"")</f>
        <v/>
      </c>
      <c r="F78" s="70">
        <f>IF(AND(('Monthly Activity Log'!C77&lt;&gt;""),(OR($B$3="All",'Monthly Activity Log'!C77=$B$3)),(OR($E$3="All",'Monthly Activity Log'!B77=$E$3))),'Monthly Activity Log'!F77,"")</f>
        <v/>
      </c>
      <c r="G78" s="70">
        <f>IF(AND(('Monthly Activity Log'!C77&lt;&gt;""),(OR($B$3="All",'Monthly Activity Log'!C77=$B$3)),(OR($E$3="All",'Monthly Activity Log'!B77=$E$3))),'Monthly Activity Log'!G77,"")</f>
        <v/>
      </c>
      <c r="H78" s="70">
        <f>IF(AND(('Monthly Activity Log'!C77&lt;&gt;""),(OR($B$3="All",'Monthly Activity Log'!C77=$B$3)),(OR($E$3="All",'Monthly Activity Log'!B77=$E$3))),'Monthly Activity Log'!H77,"")</f>
        <v/>
      </c>
      <c r="I78" s="70">
        <f>IF(AND(('Monthly Activity Log'!C77&lt;&gt;""),(OR($B$3="All",'Monthly Activity Log'!C77=$B$3)),(OR($E$3="All",'Monthly Activity Log'!B77=$E$3))),'Monthly Activity Log'!I77,"")</f>
        <v/>
      </c>
      <c r="J78" s="70">
        <f>IF(AND(('Monthly Activity Log'!C77&lt;&gt;""),(OR($B$3="All",'Monthly Activity Log'!C77=$B$3)),(OR($E$3="All",'Monthly Activity Log'!B77=$E$3))),'Monthly Activity Log'!J77,"")</f>
        <v/>
      </c>
      <c r="K78" s="70">
        <f>IF(AND(('Monthly Activity Log'!C77&lt;&gt;""),(OR($B$3="All",'Monthly Activity Log'!C77=$B$3)),(OR($E$3="All",'Monthly Activity Log'!B77=$E$3))),'Monthly Activity Log'!K77,"")</f>
        <v/>
      </c>
    </row>
    <row r="79" ht="15.75" customHeight="1" s="65">
      <c r="A79" s="73">
        <f>IF(AND(('Monthly Activity Log'!C78&lt;&gt;""),(OR($B$3="All",'Monthly Activity Log'!C78=$B$3)),(OR($E$3="All",'Monthly Activity Log'!B78=$E$3))),ROW()-4,"")</f>
        <v/>
      </c>
      <c r="B79" s="74">
        <f>IF(AND(('Monthly Activity Log'!C78&lt;&gt;""),(OR($B$3="All",'Monthly Activity Log'!C78=$B$3)),(OR($E$3="All",'Monthly Activity Log'!B78=$E$3))),'Monthly Activity Log'!B78,"")</f>
        <v/>
      </c>
      <c r="C79" s="74">
        <f>IF(AND(('Monthly Activity Log'!C78&lt;&gt;""),(OR($B$3="All",'Monthly Activity Log'!C78=$B$3)),(OR($E$3="All",'Monthly Activity Log'!B78=$E$3))),'Monthly Activity Log'!C78,"")</f>
        <v/>
      </c>
      <c r="D79" s="74">
        <f>IF(AND(('Monthly Activity Log'!C78&lt;&gt;""),(OR($B$3="All",'Monthly Activity Log'!C78=$B$3)),(OR($E$3="All",'Monthly Activity Log'!B78=$E$3))),'Monthly Activity Log'!D78,"")</f>
        <v/>
      </c>
      <c r="E79" s="74">
        <f>IF(AND(('Monthly Activity Log'!C78&lt;&gt;""),(OR($B$3="All",'Monthly Activity Log'!C78=$B$3)),(OR($E$3="All",'Monthly Activity Log'!B78=$E$3))),'Monthly Activity Log'!E78,"")</f>
        <v/>
      </c>
      <c r="F79" s="74">
        <f>IF(AND(('Monthly Activity Log'!C78&lt;&gt;""),(OR($B$3="All",'Monthly Activity Log'!C78=$B$3)),(OR($E$3="All",'Monthly Activity Log'!B78=$E$3))),'Monthly Activity Log'!F78,"")</f>
        <v/>
      </c>
      <c r="G79" s="74">
        <f>IF(AND(('Monthly Activity Log'!C78&lt;&gt;""),(OR($B$3="All",'Monthly Activity Log'!C78=$B$3)),(OR($E$3="All",'Monthly Activity Log'!B78=$E$3))),'Monthly Activity Log'!G78,"")</f>
        <v/>
      </c>
      <c r="H79" s="74">
        <f>IF(AND(('Monthly Activity Log'!C78&lt;&gt;""),(OR($B$3="All",'Monthly Activity Log'!C78=$B$3)),(OR($E$3="All",'Monthly Activity Log'!B78=$E$3))),'Monthly Activity Log'!H78,"")</f>
        <v/>
      </c>
      <c r="I79" s="74">
        <f>IF(AND(('Monthly Activity Log'!C78&lt;&gt;""),(OR($B$3="All",'Monthly Activity Log'!C78=$B$3)),(OR($E$3="All",'Monthly Activity Log'!B78=$E$3))),'Monthly Activity Log'!I78,"")</f>
        <v/>
      </c>
      <c r="J79" s="74">
        <f>IF(AND(('Monthly Activity Log'!C78&lt;&gt;""),(OR($B$3="All",'Monthly Activity Log'!C78=$B$3)),(OR($E$3="All",'Monthly Activity Log'!B78=$E$3))),'Monthly Activity Log'!J78,"")</f>
        <v/>
      </c>
      <c r="K79" s="74">
        <f>IF(AND(('Monthly Activity Log'!C78&lt;&gt;""),(OR($B$3="All",'Monthly Activity Log'!C78=$B$3)),(OR($E$3="All",'Monthly Activity Log'!B78=$E$3))),'Monthly Activity Log'!K78,"")</f>
        <v/>
      </c>
    </row>
    <row r="80" ht="15.75" customHeight="1" s="65">
      <c r="A80" s="69">
        <f>IF(AND(('Monthly Activity Log'!C79&lt;&gt;""),(OR($B$3="All",'Monthly Activity Log'!C79=$B$3)),(OR($E$3="All",'Monthly Activity Log'!B79=$E$3))),ROW()-4,"")</f>
        <v/>
      </c>
      <c r="B80" s="70">
        <f>IF(AND(('Monthly Activity Log'!C79&lt;&gt;""),(OR($B$3="All",'Monthly Activity Log'!C79=$B$3)),(OR($E$3="All",'Monthly Activity Log'!B79=$E$3))),'Monthly Activity Log'!B79,"")</f>
        <v/>
      </c>
      <c r="C80" s="70">
        <f>IF(AND(('Monthly Activity Log'!C79&lt;&gt;""),(OR($B$3="All",'Monthly Activity Log'!C79=$B$3)),(OR($E$3="All",'Monthly Activity Log'!B79=$E$3))),'Monthly Activity Log'!C79,"")</f>
        <v/>
      </c>
      <c r="D80" s="70">
        <f>IF(AND(('Monthly Activity Log'!C79&lt;&gt;""),(OR($B$3="All",'Monthly Activity Log'!C79=$B$3)),(OR($E$3="All",'Monthly Activity Log'!B79=$E$3))),'Monthly Activity Log'!D79,"")</f>
        <v/>
      </c>
      <c r="E80" s="70">
        <f>IF(AND(('Monthly Activity Log'!C79&lt;&gt;""),(OR($B$3="All",'Monthly Activity Log'!C79=$B$3)),(OR($E$3="All",'Monthly Activity Log'!B79=$E$3))),'Monthly Activity Log'!E79,"")</f>
        <v/>
      </c>
      <c r="F80" s="70">
        <f>IF(AND(('Monthly Activity Log'!C79&lt;&gt;""),(OR($B$3="All",'Monthly Activity Log'!C79=$B$3)),(OR($E$3="All",'Monthly Activity Log'!B79=$E$3))),'Monthly Activity Log'!F79,"")</f>
        <v/>
      </c>
      <c r="G80" s="70">
        <f>IF(AND(('Monthly Activity Log'!C79&lt;&gt;""),(OR($B$3="All",'Monthly Activity Log'!C79=$B$3)),(OR($E$3="All",'Monthly Activity Log'!B79=$E$3))),'Monthly Activity Log'!G79,"")</f>
        <v/>
      </c>
      <c r="H80" s="70">
        <f>IF(AND(('Monthly Activity Log'!C79&lt;&gt;""),(OR($B$3="All",'Monthly Activity Log'!C79=$B$3)),(OR($E$3="All",'Monthly Activity Log'!B79=$E$3))),'Monthly Activity Log'!H79,"")</f>
        <v/>
      </c>
      <c r="I80" s="70">
        <f>IF(AND(('Monthly Activity Log'!C79&lt;&gt;""),(OR($B$3="All",'Monthly Activity Log'!C79=$B$3)),(OR($E$3="All",'Monthly Activity Log'!B79=$E$3))),'Monthly Activity Log'!I79,"")</f>
        <v/>
      </c>
      <c r="J80" s="70">
        <f>IF(AND(('Monthly Activity Log'!C79&lt;&gt;""),(OR($B$3="All",'Monthly Activity Log'!C79=$B$3)),(OR($E$3="All",'Monthly Activity Log'!B79=$E$3))),'Monthly Activity Log'!J79,"")</f>
        <v/>
      </c>
      <c r="K80" s="70">
        <f>IF(AND(('Monthly Activity Log'!C79&lt;&gt;""),(OR($B$3="All",'Monthly Activity Log'!C79=$B$3)),(OR($E$3="All",'Monthly Activity Log'!B79=$E$3))),'Monthly Activity Log'!K79,"")</f>
        <v/>
      </c>
    </row>
    <row r="81" ht="15.75" customHeight="1" s="65">
      <c r="A81" s="73">
        <f>IF(AND(('Monthly Activity Log'!C80&lt;&gt;""),(OR($B$3="All",'Monthly Activity Log'!C80=$B$3)),(OR($E$3="All",'Monthly Activity Log'!B80=$E$3))),ROW()-4,"")</f>
        <v/>
      </c>
      <c r="B81" s="74">
        <f>IF(AND(('Monthly Activity Log'!C80&lt;&gt;""),(OR($B$3="All",'Monthly Activity Log'!C80=$B$3)),(OR($E$3="All",'Monthly Activity Log'!B80=$E$3))),'Monthly Activity Log'!B80,"")</f>
        <v/>
      </c>
      <c r="C81" s="74">
        <f>IF(AND(('Monthly Activity Log'!C80&lt;&gt;""),(OR($B$3="All",'Monthly Activity Log'!C80=$B$3)),(OR($E$3="All",'Monthly Activity Log'!B80=$E$3))),'Monthly Activity Log'!C80,"")</f>
        <v/>
      </c>
      <c r="D81" s="74">
        <f>IF(AND(('Monthly Activity Log'!C80&lt;&gt;""),(OR($B$3="All",'Monthly Activity Log'!C80=$B$3)),(OR($E$3="All",'Monthly Activity Log'!B80=$E$3))),'Monthly Activity Log'!D80,"")</f>
        <v/>
      </c>
      <c r="E81" s="74">
        <f>IF(AND(('Monthly Activity Log'!C80&lt;&gt;""),(OR($B$3="All",'Monthly Activity Log'!C80=$B$3)),(OR($E$3="All",'Monthly Activity Log'!B80=$E$3))),'Monthly Activity Log'!E80,"")</f>
        <v/>
      </c>
      <c r="F81" s="74">
        <f>IF(AND(('Monthly Activity Log'!C80&lt;&gt;""),(OR($B$3="All",'Monthly Activity Log'!C80=$B$3)),(OR($E$3="All",'Monthly Activity Log'!B80=$E$3))),'Monthly Activity Log'!F80,"")</f>
        <v/>
      </c>
      <c r="G81" s="74">
        <f>IF(AND(('Monthly Activity Log'!C80&lt;&gt;""),(OR($B$3="All",'Monthly Activity Log'!C80=$B$3)),(OR($E$3="All",'Monthly Activity Log'!B80=$E$3))),'Monthly Activity Log'!G80,"")</f>
        <v/>
      </c>
      <c r="H81" s="74">
        <f>IF(AND(('Monthly Activity Log'!C80&lt;&gt;""),(OR($B$3="All",'Monthly Activity Log'!C80=$B$3)),(OR($E$3="All",'Monthly Activity Log'!B80=$E$3))),'Monthly Activity Log'!H80,"")</f>
        <v/>
      </c>
      <c r="I81" s="74">
        <f>IF(AND(('Monthly Activity Log'!C80&lt;&gt;""),(OR($B$3="All",'Monthly Activity Log'!C80=$B$3)),(OR($E$3="All",'Monthly Activity Log'!B80=$E$3))),'Monthly Activity Log'!I80,"")</f>
        <v/>
      </c>
      <c r="J81" s="74">
        <f>IF(AND(('Monthly Activity Log'!C80&lt;&gt;""),(OR($B$3="All",'Monthly Activity Log'!C80=$B$3)),(OR($E$3="All",'Monthly Activity Log'!B80=$E$3))),'Monthly Activity Log'!J80,"")</f>
        <v/>
      </c>
      <c r="K81" s="74">
        <f>IF(AND(('Monthly Activity Log'!C80&lt;&gt;""),(OR($B$3="All",'Monthly Activity Log'!C80=$B$3)),(OR($E$3="All",'Monthly Activity Log'!B80=$E$3))),'Monthly Activity Log'!K80,"")</f>
        <v/>
      </c>
    </row>
    <row r="82" ht="15.75" customHeight="1" s="65">
      <c r="A82" s="69">
        <f>IF(AND(('Monthly Activity Log'!C81&lt;&gt;""),(OR($B$3="All",'Monthly Activity Log'!C81=$B$3)),(OR($E$3="All",'Monthly Activity Log'!B81=$E$3))),ROW()-4,"")</f>
        <v/>
      </c>
      <c r="B82" s="70">
        <f>IF(AND(('Monthly Activity Log'!C81&lt;&gt;""),(OR($B$3="All",'Monthly Activity Log'!C81=$B$3)),(OR($E$3="All",'Monthly Activity Log'!B81=$E$3))),'Monthly Activity Log'!B81,"")</f>
        <v/>
      </c>
      <c r="C82" s="70">
        <f>IF(AND(('Monthly Activity Log'!C81&lt;&gt;""),(OR($B$3="All",'Monthly Activity Log'!C81=$B$3)),(OR($E$3="All",'Monthly Activity Log'!B81=$E$3))),'Monthly Activity Log'!C81,"")</f>
        <v/>
      </c>
      <c r="D82" s="70">
        <f>IF(AND(('Monthly Activity Log'!C81&lt;&gt;""),(OR($B$3="All",'Monthly Activity Log'!C81=$B$3)),(OR($E$3="All",'Monthly Activity Log'!B81=$E$3))),'Monthly Activity Log'!D81,"")</f>
        <v/>
      </c>
      <c r="E82" s="70">
        <f>IF(AND(('Monthly Activity Log'!C81&lt;&gt;""),(OR($B$3="All",'Monthly Activity Log'!C81=$B$3)),(OR($E$3="All",'Monthly Activity Log'!B81=$E$3))),'Monthly Activity Log'!E81,"")</f>
        <v/>
      </c>
      <c r="F82" s="70">
        <f>IF(AND(('Monthly Activity Log'!C81&lt;&gt;""),(OR($B$3="All",'Monthly Activity Log'!C81=$B$3)),(OR($E$3="All",'Monthly Activity Log'!B81=$E$3))),'Monthly Activity Log'!F81,"")</f>
        <v/>
      </c>
      <c r="G82" s="70">
        <f>IF(AND(('Monthly Activity Log'!C81&lt;&gt;""),(OR($B$3="All",'Monthly Activity Log'!C81=$B$3)),(OR($E$3="All",'Monthly Activity Log'!B81=$E$3))),'Monthly Activity Log'!G81,"")</f>
        <v/>
      </c>
      <c r="H82" s="70">
        <f>IF(AND(('Monthly Activity Log'!C81&lt;&gt;""),(OR($B$3="All",'Monthly Activity Log'!C81=$B$3)),(OR($E$3="All",'Monthly Activity Log'!B81=$E$3))),'Monthly Activity Log'!H81,"")</f>
        <v/>
      </c>
      <c r="I82" s="70">
        <f>IF(AND(('Monthly Activity Log'!C81&lt;&gt;""),(OR($B$3="All",'Monthly Activity Log'!C81=$B$3)),(OR($E$3="All",'Monthly Activity Log'!B81=$E$3))),'Monthly Activity Log'!I81,"")</f>
        <v/>
      </c>
      <c r="J82" s="70">
        <f>IF(AND(('Monthly Activity Log'!C81&lt;&gt;""),(OR($B$3="All",'Monthly Activity Log'!C81=$B$3)),(OR($E$3="All",'Monthly Activity Log'!B81=$E$3))),'Monthly Activity Log'!J81,"")</f>
        <v/>
      </c>
      <c r="K82" s="70">
        <f>IF(AND(('Monthly Activity Log'!C81&lt;&gt;""),(OR($B$3="All",'Monthly Activity Log'!C81=$B$3)),(OR($E$3="All",'Monthly Activity Log'!B81=$E$3))),'Monthly Activity Log'!K81,"")</f>
        <v/>
      </c>
    </row>
    <row r="83" ht="15.75" customHeight="1" s="65">
      <c r="A83" s="73">
        <f>IF(AND(('Monthly Activity Log'!C82&lt;&gt;""),(OR($B$3="All",'Monthly Activity Log'!C82=$B$3)),(OR($E$3="All",'Monthly Activity Log'!B82=$E$3))),ROW()-4,"")</f>
        <v/>
      </c>
      <c r="B83" s="74">
        <f>IF(AND(('Monthly Activity Log'!C82&lt;&gt;""),(OR($B$3="All",'Monthly Activity Log'!C82=$B$3)),(OR($E$3="All",'Monthly Activity Log'!B82=$E$3))),'Monthly Activity Log'!B82,"")</f>
        <v/>
      </c>
      <c r="C83" s="74">
        <f>IF(AND(('Monthly Activity Log'!C82&lt;&gt;""),(OR($B$3="All",'Monthly Activity Log'!C82=$B$3)),(OR($E$3="All",'Monthly Activity Log'!B82=$E$3))),'Monthly Activity Log'!C82,"")</f>
        <v/>
      </c>
      <c r="D83" s="74">
        <f>IF(AND(('Monthly Activity Log'!C82&lt;&gt;""),(OR($B$3="All",'Monthly Activity Log'!C82=$B$3)),(OR($E$3="All",'Monthly Activity Log'!B82=$E$3))),'Monthly Activity Log'!D82,"")</f>
        <v/>
      </c>
      <c r="E83" s="74">
        <f>IF(AND(('Monthly Activity Log'!C82&lt;&gt;""),(OR($B$3="All",'Monthly Activity Log'!C82=$B$3)),(OR($E$3="All",'Monthly Activity Log'!B82=$E$3))),'Monthly Activity Log'!E82,"")</f>
        <v/>
      </c>
      <c r="F83" s="74">
        <f>IF(AND(('Monthly Activity Log'!C82&lt;&gt;""),(OR($B$3="All",'Monthly Activity Log'!C82=$B$3)),(OR($E$3="All",'Monthly Activity Log'!B82=$E$3))),'Monthly Activity Log'!F82,"")</f>
        <v/>
      </c>
      <c r="G83" s="74">
        <f>IF(AND(('Monthly Activity Log'!C82&lt;&gt;""),(OR($B$3="All",'Monthly Activity Log'!C82=$B$3)),(OR($E$3="All",'Monthly Activity Log'!B82=$E$3))),'Monthly Activity Log'!G82,"")</f>
        <v/>
      </c>
      <c r="H83" s="74">
        <f>IF(AND(('Monthly Activity Log'!C82&lt;&gt;""),(OR($B$3="All",'Monthly Activity Log'!C82=$B$3)),(OR($E$3="All",'Monthly Activity Log'!B82=$E$3))),'Monthly Activity Log'!H82,"")</f>
        <v/>
      </c>
      <c r="I83" s="74">
        <f>IF(AND(('Monthly Activity Log'!C82&lt;&gt;""),(OR($B$3="All",'Monthly Activity Log'!C82=$B$3)),(OR($E$3="All",'Monthly Activity Log'!B82=$E$3))),'Monthly Activity Log'!I82,"")</f>
        <v/>
      </c>
      <c r="J83" s="74">
        <f>IF(AND(('Monthly Activity Log'!C82&lt;&gt;""),(OR($B$3="All",'Monthly Activity Log'!C82=$B$3)),(OR($E$3="All",'Monthly Activity Log'!B82=$E$3))),'Monthly Activity Log'!J82,"")</f>
        <v/>
      </c>
      <c r="K83" s="74">
        <f>IF(AND(('Monthly Activity Log'!C82&lt;&gt;""),(OR($B$3="All",'Monthly Activity Log'!C82=$B$3)),(OR($E$3="All",'Monthly Activity Log'!B82=$E$3))),'Monthly Activity Log'!K82,"")</f>
        <v/>
      </c>
    </row>
    <row r="84" ht="15.75" customHeight="1" s="65">
      <c r="A84" s="69">
        <f>IF(AND(('Monthly Activity Log'!C83&lt;&gt;""),(OR($B$3="All",'Monthly Activity Log'!C83=$B$3)),(OR($E$3="All",'Monthly Activity Log'!B83=$E$3))),ROW()-4,"")</f>
        <v/>
      </c>
      <c r="B84" s="70">
        <f>IF(AND(('Monthly Activity Log'!C83&lt;&gt;""),(OR($B$3="All",'Monthly Activity Log'!C83=$B$3)),(OR($E$3="All",'Monthly Activity Log'!B83=$E$3))),'Monthly Activity Log'!B83,"")</f>
        <v/>
      </c>
      <c r="C84" s="70">
        <f>IF(AND(('Monthly Activity Log'!C83&lt;&gt;""),(OR($B$3="All",'Monthly Activity Log'!C83=$B$3)),(OR($E$3="All",'Monthly Activity Log'!B83=$E$3))),'Monthly Activity Log'!C83,"")</f>
        <v/>
      </c>
      <c r="D84" s="70">
        <f>IF(AND(('Monthly Activity Log'!C83&lt;&gt;""),(OR($B$3="All",'Monthly Activity Log'!C83=$B$3)),(OR($E$3="All",'Monthly Activity Log'!B83=$E$3))),'Monthly Activity Log'!D83,"")</f>
        <v/>
      </c>
      <c r="E84" s="70">
        <f>IF(AND(('Monthly Activity Log'!C83&lt;&gt;""),(OR($B$3="All",'Monthly Activity Log'!C83=$B$3)),(OR($E$3="All",'Monthly Activity Log'!B83=$E$3))),'Monthly Activity Log'!E83,"")</f>
        <v/>
      </c>
      <c r="F84" s="70">
        <f>IF(AND(('Monthly Activity Log'!C83&lt;&gt;""),(OR($B$3="All",'Monthly Activity Log'!C83=$B$3)),(OR($E$3="All",'Monthly Activity Log'!B83=$E$3))),'Monthly Activity Log'!F83,"")</f>
        <v/>
      </c>
      <c r="G84" s="70">
        <f>IF(AND(('Monthly Activity Log'!C83&lt;&gt;""),(OR($B$3="All",'Monthly Activity Log'!C83=$B$3)),(OR($E$3="All",'Monthly Activity Log'!B83=$E$3))),'Monthly Activity Log'!G83,"")</f>
        <v/>
      </c>
      <c r="H84" s="70">
        <f>IF(AND(('Monthly Activity Log'!C83&lt;&gt;""),(OR($B$3="All",'Monthly Activity Log'!C83=$B$3)),(OR($E$3="All",'Monthly Activity Log'!B83=$E$3))),'Monthly Activity Log'!H83,"")</f>
        <v/>
      </c>
      <c r="I84" s="70">
        <f>IF(AND(('Monthly Activity Log'!C83&lt;&gt;""),(OR($B$3="All",'Monthly Activity Log'!C83=$B$3)),(OR($E$3="All",'Monthly Activity Log'!B83=$E$3))),'Monthly Activity Log'!I83,"")</f>
        <v/>
      </c>
      <c r="J84" s="70">
        <f>IF(AND(('Monthly Activity Log'!C83&lt;&gt;""),(OR($B$3="All",'Monthly Activity Log'!C83=$B$3)),(OR($E$3="All",'Monthly Activity Log'!B83=$E$3))),'Monthly Activity Log'!J83,"")</f>
        <v/>
      </c>
      <c r="K84" s="70">
        <f>IF(AND(('Monthly Activity Log'!C83&lt;&gt;""),(OR($B$3="All",'Monthly Activity Log'!C83=$B$3)),(OR($E$3="All",'Monthly Activity Log'!B83=$E$3))),'Monthly Activity Log'!K83,"")</f>
        <v/>
      </c>
    </row>
    <row r="85" ht="15.75" customHeight="1" s="65">
      <c r="A85" s="73">
        <f>IF(AND(('Monthly Activity Log'!C84&lt;&gt;""),(OR($B$3="All",'Monthly Activity Log'!C84=$B$3)),(OR($E$3="All",'Monthly Activity Log'!B84=$E$3))),ROW()-4,"")</f>
        <v/>
      </c>
      <c r="B85" s="74">
        <f>IF(AND(('Monthly Activity Log'!C84&lt;&gt;""),(OR($B$3="All",'Monthly Activity Log'!C84=$B$3)),(OR($E$3="All",'Monthly Activity Log'!B84=$E$3))),'Monthly Activity Log'!B84,"")</f>
        <v/>
      </c>
      <c r="C85" s="74">
        <f>IF(AND(('Monthly Activity Log'!C84&lt;&gt;""),(OR($B$3="All",'Monthly Activity Log'!C84=$B$3)),(OR($E$3="All",'Monthly Activity Log'!B84=$E$3))),'Monthly Activity Log'!C84,"")</f>
        <v/>
      </c>
      <c r="D85" s="74">
        <f>IF(AND(('Monthly Activity Log'!C84&lt;&gt;""),(OR($B$3="All",'Monthly Activity Log'!C84=$B$3)),(OR($E$3="All",'Monthly Activity Log'!B84=$E$3))),'Monthly Activity Log'!D84,"")</f>
        <v/>
      </c>
      <c r="E85" s="74">
        <f>IF(AND(('Monthly Activity Log'!C84&lt;&gt;""),(OR($B$3="All",'Monthly Activity Log'!C84=$B$3)),(OR($E$3="All",'Monthly Activity Log'!B84=$E$3))),'Monthly Activity Log'!E84,"")</f>
        <v/>
      </c>
      <c r="F85" s="74">
        <f>IF(AND(('Monthly Activity Log'!C84&lt;&gt;""),(OR($B$3="All",'Monthly Activity Log'!C84=$B$3)),(OR($E$3="All",'Monthly Activity Log'!B84=$E$3))),'Monthly Activity Log'!F84,"")</f>
        <v/>
      </c>
      <c r="G85" s="74">
        <f>IF(AND(('Monthly Activity Log'!C84&lt;&gt;""),(OR($B$3="All",'Monthly Activity Log'!C84=$B$3)),(OR($E$3="All",'Monthly Activity Log'!B84=$E$3))),'Monthly Activity Log'!G84,"")</f>
        <v/>
      </c>
      <c r="H85" s="74">
        <f>IF(AND(('Monthly Activity Log'!C84&lt;&gt;""),(OR($B$3="All",'Monthly Activity Log'!C84=$B$3)),(OR($E$3="All",'Monthly Activity Log'!B84=$E$3))),'Monthly Activity Log'!H84,"")</f>
        <v/>
      </c>
      <c r="I85" s="74">
        <f>IF(AND(('Monthly Activity Log'!C84&lt;&gt;""),(OR($B$3="All",'Monthly Activity Log'!C84=$B$3)),(OR($E$3="All",'Monthly Activity Log'!B84=$E$3))),'Monthly Activity Log'!I84,"")</f>
        <v/>
      </c>
      <c r="J85" s="74">
        <f>IF(AND(('Monthly Activity Log'!C84&lt;&gt;""),(OR($B$3="All",'Monthly Activity Log'!C84=$B$3)),(OR($E$3="All",'Monthly Activity Log'!B84=$E$3))),'Monthly Activity Log'!J84,"")</f>
        <v/>
      </c>
      <c r="K85" s="74">
        <f>IF(AND(('Monthly Activity Log'!C84&lt;&gt;""),(OR($B$3="All",'Monthly Activity Log'!C84=$B$3)),(OR($E$3="All",'Monthly Activity Log'!B84=$E$3))),'Monthly Activity Log'!K84,"")</f>
        <v/>
      </c>
    </row>
    <row r="86" ht="15.75" customHeight="1" s="65">
      <c r="A86" s="69">
        <f>IF(AND(('Monthly Activity Log'!C85&lt;&gt;""),(OR($B$3="All",'Monthly Activity Log'!C85=$B$3)),(OR($E$3="All",'Monthly Activity Log'!B85=$E$3))),ROW()-4,"")</f>
        <v/>
      </c>
      <c r="B86" s="70">
        <f>IF(AND(('Monthly Activity Log'!C85&lt;&gt;""),(OR($B$3="All",'Monthly Activity Log'!C85=$B$3)),(OR($E$3="All",'Monthly Activity Log'!B85=$E$3))),'Monthly Activity Log'!B85,"")</f>
        <v/>
      </c>
      <c r="C86" s="70">
        <f>IF(AND(('Monthly Activity Log'!C85&lt;&gt;""),(OR($B$3="All",'Monthly Activity Log'!C85=$B$3)),(OR($E$3="All",'Monthly Activity Log'!B85=$E$3))),'Monthly Activity Log'!C85,"")</f>
        <v/>
      </c>
      <c r="D86" s="70">
        <f>IF(AND(('Monthly Activity Log'!C85&lt;&gt;""),(OR($B$3="All",'Monthly Activity Log'!C85=$B$3)),(OR($E$3="All",'Monthly Activity Log'!B85=$E$3))),'Monthly Activity Log'!D85,"")</f>
        <v/>
      </c>
      <c r="E86" s="70">
        <f>IF(AND(('Monthly Activity Log'!C85&lt;&gt;""),(OR($B$3="All",'Monthly Activity Log'!C85=$B$3)),(OR($E$3="All",'Monthly Activity Log'!B85=$E$3))),'Monthly Activity Log'!E85,"")</f>
        <v/>
      </c>
      <c r="F86" s="70">
        <f>IF(AND(('Monthly Activity Log'!C85&lt;&gt;""),(OR($B$3="All",'Monthly Activity Log'!C85=$B$3)),(OR($E$3="All",'Monthly Activity Log'!B85=$E$3))),'Monthly Activity Log'!F85,"")</f>
        <v/>
      </c>
      <c r="G86" s="70">
        <f>IF(AND(('Monthly Activity Log'!C85&lt;&gt;""),(OR($B$3="All",'Monthly Activity Log'!C85=$B$3)),(OR($E$3="All",'Monthly Activity Log'!B85=$E$3))),'Monthly Activity Log'!G85,"")</f>
        <v/>
      </c>
      <c r="H86" s="70">
        <f>IF(AND(('Monthly Activity Log'!C85&lt;&gt;""),(OR($B$3="All",'Monthly Activity Log'!C85=$B$3)),(OR($E$3="All",'Monthly Activity Log'!B85=$E$3))),'Monthly Activity Log'!H85,"")</f>
        <v/>
      </c>
      <c r="I86" s="70">
        <f>IF(AND(('Monthly Activity Log'!C85&lt;&gt;""),(OR($B$3="All",'Monthly Activity Log'!C85=$B$3)),(OR($E$3="All",'Monthly Activity Log'!B85=$E$3))),'Monthly Activity Log'!I85,"")</f>
        <v/>
      </c>
      <c r="J86" s="70">
        <f>IF(AND(('Monthly Activity Log'!C85&lt;&gt;""),(OR($B$3="All",'Monthly Activity Log'!C85=$B$3)),(OR($E$3="All",'Monthly Activity Log'!B85=$E$3))),'Monthly Activity Log'!J85,"")</f>
        <v/>
      </c>
      <c r="K86" s="70">
        <f>IF(AND(('Monthly Activity Log'!C85&lt;&gt;""),(OR($B$3="All",'Monthly Activity Log'!C85=$B$3)),(OR($E$3="All",'Monthly Activity Log'!B85=$E$3))),'Monthly Activity Log'!K85,"")</f>
        <v/>
      </c>
    </row>
    <row r="87" ht="15.75" customHeight="1" s="65">
      <c r="A87" s="73">
        <f>IF(AND(('Monthly Activity Log'!C86&lt;&gt;""),(OR($B$3="All",'Monthly Activity Log'!C86=$B$3)),(OR($E$3="All",'Monthly Activity Log'!B86=$E$3))),ROW()-4,"")</f>
        <v/>
      </c>
      <c r="B87" s="74">
        <f>IF(AND(('Monthly Activity Log'!C86&lt;&gt;""),(OR($B$3="All",'Monthly Activity Log'!C86=$B$3)),(OR($E$3="All",'Monthly Activity Log'!B86=$E$3))),'Monthly Activity Log'!B86,"")</f>
        <v/>
      </c>
      <c r="C87" s="74">
        <f>IF(AND(('Monthly Activity Log'!C86&lt;&gt;""),(OR($B$3="All",'Monthly Activity Log'!C86=$B$3)),(OR($E$3="All",'Monthly Activity Log'!B86=$E$3))),'Monthly Activity Log'!C86,"")</f>
        <v/>
      </c>
      <c r="D87" s="74">
        <f>IF(AND(('Monthly Activity Log'!C86&lt;&gt;""),(OR($B$3="All",'Monthly Activity Log'!C86=$B$3)),(OR($E$3="All",'Monthly Activity Log'!B86=$E$3))),'Monthly Activity Log'!D86,"")</f>
        <v/>
      </c>
      <c r="E87" s="74">
        <f>IF(AND(('Monthly Activity Log'!C86&lt;&gt;""),(OR($B$3="All",'Monthly Activity Log'!C86=$B$3)),(OR($E$3="All",'Monthly Activity Log'!B86=$E$3))),'Monthly Activity Log'!E86,"")</f>
        <v/>
      </c>
      <c r="F87" s="74">
        <f>IF(AND(('Monthly Activity Log'!C86&lt;&gt;""),(OR($B$3="All",'Monthly Activity Log'!C86=$B$3)),(OR($E$3="All",'Monthly Activity Log'!B86=$E$3))),'Monthly Activity Log'!F86,"")</f>
        <v/>
      </c>
      <c r="G87" s="74">
        <f>IF(AND(('Monthly Activity Log'!C86&lt;&gt;""),(OR($B$3="All",'Monthly Activity Log'!C86=$B$3)),(OR($E$3="All",'Monthly Activity Log'!B86=$E$3))),'Monthly Activity Log'!G86,"")</f>
        <v/>
      </c>
      <c r="H87" s="74">
        <f>IF(AND(('Monthly Activity Log'!C86&lt;&gt;""),(OR($B$3="All",'Monthly Activity Log'!C86=$B$3)),(OR($E$3="All",'Monthly Activity Log'!B86=$E$3))),'Monthly Activity Log'!H86,"")</f>
        <v/>
      </c>
      <c r="I87" s="74">
        <f>IF(AND(('Monthly Activity Log'!C86&lt;&gt;""),(OR($B$3="All",'Monthly Activity Log'!C86=$B$3)),(OR($E$3="All",'Monthly Activity Log'!B86=$E$3))),'Monthly Activity Log'!I86,"")</f>
        <v/>
      </c>
      <c r="J87" s="74">
        <f>IF(AND(('Monthly Activity Log'!C86&lt;&gt;""),(OR($B$3="All",'Monthly Activity Log'!C86=$B$3)),(OR($E$3="All",'Monthly Activity Log'!B86=$E$3))),'Monthly Activity Log'!J86,"")</f>
        <v/>
      </c>
      <c r="K87" s="74">
        <f>IF(AND(('Monthly Activity Log'!C86&lt;&gt;""),(OR($B$3="All",'Monthly Activity Log'!C86=$B$3)),(OR($E$3="All",'Monthly Activity Log'!B86=$E$3))),'Monthly Activity Log'!K86,"")</f>
        <v/>
      </c>
    </row>
    <row r="88" ht="15.75" customHeight="1" s="65">
      <c r="A88" s="69">
        <f>IF(AND(('Monthly Activity Log'!C87&lt;&gt;""),(OR($B$3="All",'Monthly Activity Log'!C87=$B$3)),(OR($E$3="All",'Monthly Activity Log'!B87=$E$3))),ROW()-4,"")</f>
        <v/>
      </c>
      <c r="B88" s="70">
        <f>IF(AND(('Monthly Activity Log'!C87&lt;&gt;""),(OR($B$3="All",'Monthly Activity Log'!C87=$B$3)),(OR($E$3="All",'Monthly Activity Log'!B87=$E$3))),'Monthly Activity Log'!B87,"")</f>
        <v/>
      </c>
      <c r="C88" s="70">
        <f>IF(AND(('Monthly Activity Log'!C87&lt;&gt;""),(OR($B$3="All",'Monthly Activity Log'!C87=$B$3)),(OR($E$3="All",'Monthly Activity Log'!B87=$E$3))),'Monthly Activity Log'!C87,"")</f>
        <v/>
      </c>
      <c r="D88" s="70">
        <f>IF(AND(('Monthly Activity Log'!C87&lt;&gt;""),(OR($B$3="All",'Monthly Activity Log'!C87=$B$3)),(OR($E$3="All",'Monthly Activity Log'!B87=$E$3))),'Monthly Activity Log'!D87,"")</f>
        <v/>
      </c>
      <c r="E88" s="70">
        <f>IF(AND(('Monthly Activity Log'!C87&lt;&gt;""),(OR($B$3="All",'Monthly Activity Log'!C87=$B$3)),(OR($E$3="All",'Monthly Activity Log'!B87=$E$3))),'Monthly Activity Log'!E87,"")</f>
        <v/>
      </c>
      <c r="F88" s="70">
        <f>IF(AND(('Monthly Activity Log'!C87&lt;&gt;""),(OR($B$3="All",'Monthly Activity Log'!C87=$B$3)),(OR($E$3="All",'Monthly Activity Log'!B87=$E$3))),'Monthly Activity Log'!F87,"")</f>
        <v/>
      </c>
      <c r="G88" s="70">
        <f>IF(AND(('Monthly Activity Log'!C87&lt;&gt;""),(OR($B$3="All",'Monthly Activity Log'!C87=$B$3)),(OR($E$3="All",'Monthly Activity Log'!B87=$E$3))),'Monthly Activity Log'!G87,"")</f>
        <v/>
      </c>
      <c r="H88" s="70">
        <f>IF(AND(('Monthly Activity Log'!C87&lt;&gt;""),(OR($B$3="All",'Monthly Activity Log'!C87=$B$3)),(OR($E$3="All",'Monthly Activity Log'!B87=$E$3))),'Monthly Activity Log'!H87,"")</f>
        <v/>
      </c>
      <c r="I88" s="70">
        <f>IF(AND(('Monthly Activity Log'!C87&lt;&gt;""),(OR($B$3="All",'Monthly Activity Log'!C87=$B$3)),(OR($E$3="All",'Monthly Activity Log'!B87=$E$3))),'Monthly Activity Log'!I87,"")</f>
        <v/>
      </c>
      <c r="J88" s="70">
        <f>IF(AND(('Monthly Activity Log'!C87&lt;&gt;""),(OR($B$3="All",'Monthly Activity Log'!C87=$B$3)),(OR($E$3="All",'Monthly Activity Log'!B87=$E$3))),'Monthly Activity Log'!J87,"")</f>
        <v/>
      </c>
      <c r="K88" s="70">
        <f>IF(AND(('Monthly Activity Log'!C87&lt;&gt;""),(OR($B$3="All",'Monthly Activity Log'!C87=$B$3)),(OR($E$3="All",'Monthly Activity Log'!B87=$E$3))),'Monthly Activity Log'!K87,"")</f>
        <v/>
      </c>
    </row>
    <row r="89" ht="15.75" customHeight="1" s="65">
      <c r="A89" s="73">
        <f>IF(AND(('Monthly Activity Log'!C88&lt;&gt;""),(OR($B$3="All",'Monthly Activity Log'!C88=$B$3)),(OR($E$3="All",'Monthly Activity Log'!B88=$E$3))),ROW()-4,"")</f>
        <v/>
      </c>
      <c r="B89" s="74">
        <f>IF(AND(('Monthly Activity Log'!C88&lt;&gt;""),(OR($B$3="All",'Monthly Activity Log'!C88=$B$3)),(OR($E$3="All",'Monthly Activity Log'!B88=$E$3))),'Monthly Activity Log'!B88,"")</f>
        <v/>
      </c>
      <c r="C89" s="74">
        <f>IF(AND(('Monthly Activity Log'!C88&lt;&gt;""),(OR($B$3="All",'Monthly Activity Log'!C88=$B$3)),(OR($E$3="All",'Monthly Activity Log'!B88=$E$3))),'Monthly Activity Log'!C88,"")</f>
        <v/>
      </c>
      <c r="D89" s="74">
        <f>IF(AND(('Monthly Activity Log'!C88&lt;&gt;""),(OR($B$3="All",'Monthly Activity Log'!C88=$B$3)),(OR($E$3="All",'Monthly Activity Log'!B88=$E$3))),'Monthly Activity Log'!D88,"")</f>
        <v/>
      </c>
      <c r="E89" s="74">
        <f>IF(AND(('Monthly Activity Log'!C88&lt;&gt;""),(OR($B$3="All",'Monthly Activity Log'!C88=$B$3)),(OR($E$3="All",'Monthly Activity Log'!B88=$E$3))),'Monthly Activity Log'!E88,"")</f>
        <v/>
      </c>
      <c r="F89" s="74">
        <f>IF(AND(('Monthly Activity Log'!C88&lt;&gt;""),(OR($B$3="All",'Monthly Activity Log'!C88=$B$3)),(OR($E$3="All",'Monthly Activity Log'!B88=$E$3))),'Monthly Activity Log'!F88,"")</f>
        <v/>
      </c>
      <c r="G89" s="74">
        <f>IF(AND(('Monthly Activity Log'!C88&lt;&gt;""),(OR($B$3="All",'Monthly Activity Log'!C88=$B$3)),(OR($E$3="All",'Monthly Activity Log'!B88=$E$3))),'Monthly Activity Log'!G88,"")</f>
        <v/>
      </c>
      <c r="H89" s="74">
        <f>IF(AND(('Monthly Activity Log'!C88&lt;&gt;""),(OR($B$3="All",'Monthly Activity Log'!C88=$B$3)),(OR($E$3="All",'Monthly Activity Log'!B88=$E$3))),'Monthly Activity Log'!H88,"")</f>
        <v/>
      </c>
      <c r="I89" s="74">
        <f>IF(AND(('Monthly Activity Log'!C88&lt;&gt;""),(OR($B$3="All",'Monthly Activity Log'!C88=$B$3)),(OR($E$3="All",'Monthly Activity Log'!B88=$E$3))),'Monthly Activity Log'!I88,"")</f>
        <v/>
      </c>
      <c r="J89" s="74">
        <f>IF(AND(('Monthly Activity Log'!C88&lt;&gt;""),(OR($B$3="All",'Monthly Activity Log'!C88=$B$3)),(OR($E$3="All",'Monthly Activity Log'!B88=$E$3))),'Monthly Activity Log'!J88,"")</f>
        <v/>
      </c>
      <c r="K89" s="74">
        <f>IF(AND(('Monthly Activity Log'!C88&lt;&gt;""),(OR($B$3="All",'Monthly Activity Log'!C88=$B$3)),(OR($E$3="All",'Monthly Activity Log'!B88=$E$3))),'Monthly Activity Log'!K88,"")</f>
        <v/>
      </c>
    </row>
    <row r="90" ht="15.75" customHeight="1" s="65">
      <c r="A90" s="69">
        <f>IF(AND(('Monthly Activity Log'!C89&lt;&gt;""),(OR($B$3="All",'Monthly Activity Log'!C89=$B$3)),(OR($E$3="All",'Monthly Activity Log'!B89=$E$3))),ROW()-4,"")</f>
        <v/>
      </c>
      <c r="B90" s="70">
        <f>IF(AND(('Monthly Activity Log'!C89&lt;&gt;""),(OR($B$3="All",'Monthly Activity Log'!C89=$B$3)),(OR($E$3="All",'Monthly Activity Log'!B89=$E$3))),'Monthly Activity Log'!B89,"")</f>
        <v/>
      </c>
      <c r="C90" s="70">
        <f>IF(AND(('Monthly Activity Log'!C89&lt;&gt;""),(OR($B$3="All",'Monthly Activity Log'!C89=$B$3)),(OR($E$3="All",'Monthly Activity Log'!B89=$E$3))),'Monthly Activity Log'!C89,"")</f>
        <v/>
      </c>
      <c r="D90" s="70">
        <f>IF(AND(('Monthly Activity Log'!C89&lt;&gt;""),(OR($B$3="All",'Monthly Activity Log'!C89=$B$3)),(OR($E$3="All",'Monthly Activity Log'!B89=$E$3))),'Monthly Activity Log'!D89,"")</f>
        <v/>
      </c>
      <c r="E90" s="70">
        <f>IF(AND(('Monthly Activity Log'!C89&lt;&gt;""),(OR($B$3="All",'Monthly Activity Log'!C89=$B$3)),(OR($E$3="All",'Monthly Activity Log'!B89=$E$3))),'Monthly Activity Log'!E89,"")</f>
        <v/>
      </c>
      <c r="F90" s="70">
        <f>IF(AND(('Monthly Activity Log'!C89&lt;&gt;""),(OR($B$3="All",'Monthly Activity Log'!C89=$B$3)),(OR($E$3="All",'Monthly Activity Log'!B89=$E$3))),'Monthly Activity Log'!F89,"")</f>
        <v/>
      </c>
      <c r="G90" s="70">
        <f>IF(AND(('Monthly Activity Log'!C89&lt;&gt;""),(OR($B$3="All",'Monthly Activity Log'!C89=$B$3)),(OR($E$3="All",'Monthly Activity Log'!B89=$E$3))),'Monthly Activity Log'!G89,"")</f>
        <v/>
      </c>
      <c r="H90" s="70">
        <f>IF(AND(('Monthly Activity Log'!C89&lt;&gt;""),(OR($B$3="All",'Monthly Activity Log'!C89=$B$3)),(OR($E$3="All",'Monthly Activity Log'!B89=$E$3))),'Monthly Activity Log'!H89,"")</f>
        <v/>
      </c>
      <c r="I90" s="70">
        <f>IF(AND(('Monthly Activity Log'!C89&lt;&gt;""),(OR($B$3="All",'Monthly Activity Log'!C89=$B$3)),(OR($E$3="All",'Monthly Activity Log'!B89=$E$3))),'Monthly Activity Log'!I89,"")</f>
        <v/>
      </c>
      <c r="J90" s="70">
        <f>IF(AND(('Monthly Activity Log'!C89&lt;&gt;""),(OR($B$3="All",'Monthly Activity Log'!C89=$B$3)),(OR($E$3="All",'Monthly Activity Log'!B89=$E$3))),'Monthly Activity Log'!J89,"")</f>
        <v/>
      </c>
      <c r="K90" s="70">
        <f>IF(AND(('Monthly Activity Log'!C89&lt;&gt;""),(OR($B$3="All",'Monthly Activity Log'!C89=$B$3)),(OR($E$3="All",'Monthly Activity Log'!B89=$E$3))),'Monthly Activity Log'!K89,"")</f>
        <v/>
      </c>
    </row>
    <row r="91" ht="15.75" customHeight="1" s="65">
      <c r="A91" s="73">
        <f>IF(AND(('Monthly Activity Log'!C90&lt;&gt;""),(OR($B$3="All",'Monthly Activity Log'!C90=$B$3)),(OR($E$3="All",'Monthly Activity Log'!B90=$E$3))),ROW()-4,"")</f>
        <v/>
      </c>
      <c r="B91" s="74">
        <f>IF(AND(('Monthly Activity Log'!C90&lt;&gt;""),(OR($B$3="All",'Monthly Activity Log'!C90=$B$3)),(OR($E$3="All",'Monthly Activity Log'!B90=$E$3))),'Monthly Activity Log'!B90,"")</f>
        <v/>
      </c>
      <c r="C91" s="74">
        <f>IF(AND(('Monthly Activity Log'!C90&lt;&gt;""),(OR($B$3="All",'Monthly Activity Log'!C90=$B$3)),(OR($E$3="All",'Monthly Activity Log'!B90=$E$3))),'Monthly Activity Log'!C90,"")</f>
        <v/>
      </c>
      <c r="D91" s="74">
        <f>IF(AND(('Monthly Activity Log'!C90&lt;&gt;""),(OR($B$3="All",'Monthly Activity Log'!C90=$B$3)),(OR($E$3="All",'Monthly Activity Log'!B90=$E$3))),'Monthly Activity Log'!D90,"")</f>
        <v/>
      </c>
      <c r="E91" s="74">
        <f>IF(AND(('Monthly Activity Log'!C90&lt;&gt;""),(OR($B$3="All",'Monthly Activity Log'!C90=$B$3)),(OR($E$3="All",'Monthly Activity Log'!B90=$E$3))),'Monthly Activity Log'!E90,"")</f>
        <v/>
      </c>
      <c r="F91" s="74">
        <f>IF(AND(('Monthly Activity Log'!C90&lt;&gt;""),(OR($B$3="All",'Monthly Activity Log'!C90=$B$3)),(OR($E$3="All",'Monthly Activity Log'!B90=$E$3))),'Monthly Activity Log'!F90,"")</f>
        <v/>
      </c>
      <c r="G91" s="74">
        <f>IF(AND(('Monthly Activity Log'!C90&lt;&gt;""),(OR($B$3="All",'Monthly Activity Log'!C90=$B$3)),(OR($E$3="All",'Monthly Activity Log'!B90=$E$3))),'Monthly Activity Log'!G90,"")</f>
        <v/>
      </c>
      <c r="H91" s="74">
        <f>IF(AND(('Monthly Activity Log'!C90&lt;&gt;""),(OR($B$3="All",'Monthly Activity Log'!C90=$B$3)),(OR($E$3="All",'Monthly Activity Log'!B90=$E$3))),'Monthly Activity Log'!H90,"")</f>
        <v/>
      </c>
      <c r="I91" s="74">
        <f>IF(AND(('Monthly Activity Log'!C90&lt;&gt;""),(OR($B$3="All",'Monthly Activity Log'!C90=$B$3)),(OR($E$3="All",'Monthly Activity Log'!B90=$E$3))),'Monthly Activity Log'!I90,"")</f>
        <v/>
      </c>
      <c r="J91" s="74">
        <f>IF(AND(('Monthly Activity Log'!C90&lt;&gt;""),(OR($B$3="All",'Monthly Activity Log'!C90=$B$3)),(OR($E$3="All",'Monthly Activity Log'!B90=$E$3))),'Monthly Activity Log'!J90,"")</f>
        <v/>
      </c>
      <c r="K91" s="74">
        <f>IF(AND(('Monthly Activity Log'!C90&lt;&gt;""),(OR($B$3="All",'Monthly Activity Log'!C90=$B$3)),(OR($E$3="All",'Monthly Activity Log'!B90=$E$3))),'Monthly Activity Log'!K90,"")</f>
        <v/>
      </c>
    </row>
    <row r="92" ht="15.75" customHeight="1" s="65">
      <c r="A92" s="69">
        <f>IF(AND(('Monthly Activity Log'!C91&lt;&gt;""),(OR($B$3="All",'Monthly Activity Log'!C91=$B$3)),(OR($E$3="All",'Monthly Activity Log'!B91=$E$3))),ROW()-4,"")</f>
        <v/>
      </c>
      <c r="B92" s="70">
        <f>IF(AND(('Monthly Activity Log'!C91&lt;&gt;""),(OR($B$3="All",'Monthly Activity Log'!C91=$B$3)),(OR($E$3="All",'Monthly Activity Log'!B91=$E$3))),'Monthly Activity Log'!B91,"")</f>
        <v/>
      </c>
      <c r="C92" s="70">
        <f>IF(AND(('Monthly Activity Log'!C91&lt;&gt;""),(OR($B$3="All",'Monthly Activity Log'!C91=$B$3)),(OR($E$3="All",'Monthly Activity Log'!B91=$E$3))),'Monthly Activity Log'!C91,"")</f>
        <v/>
      </c>
      <c r="D92" s="70">
        <f>IF(AND(('Monthly Activity Log'!C91&lt;&gt;""),(OR($B$3="All",'Monthly Activity Log'!C91=$B$3)),(OR($E$3="All",'Monthly Activity Log'!B91=$E$3))),'Monthly Activity Log'!D91,"")</f>
        <v/>
      </c>
      <c r="E92" s="70">
        <f>IF(AND(('Monthly Activity Log'!C91&lt;&gt;""),(OR($B$3="All",'Monthly Activity Log'!C91=$B$3)),(OR($E$3="All",'Monthly Activity Log'!B91=$E$3))),'Monthly Activity Log'!E91,"")</f>
        <v/>
      </c>
      <c r="F92" s="70">
        <f>IF(AND(('Monthly Activity Log'!C91&lt;&gt;""),(OR($B$3="All",'Monthly Activity Log'!C91=$B$3)),(OR($E$3="All",'Monthly Activity Log'!B91=$E$3))),'Monthly Activity Log'!F91,"")</f>
        <v/>
      </c>
      <c r="G92" s="70">
        <f>IF(AND(('Monthly Activity Log'!C91&lt;&gt;""),(OR($B$3="All",'Monthly Activity Log'!C91=$B$3)),(OR($E$3="All",'Monthly Activity Log'!B91=$E$3))),'Monthly Activity Log'!G91,"")</f>
        <v/>
      </c>
      <c r="H92" s="70">
        <f>IF(AND(('Monthly Activity Log'!C91&lt;&gt;""),(OR($B$3="All",'Monthly Activity Log'!C91=$B$3)),(OR($E$3="All",'Monthly Activity Log'!B91=$E$3))),'Monthly Activity Log'!H91,"")</f>
        <v/>
      </c>
      <c r="I92" s="70">
        <f>IF(AND(('Monthly Activity Log'!C91&lt;&gt;""),(OR($B$3="All",'Monthly Activity Log'!C91=$B$3)),(OR($E$3="All",'Monthly Activity Log'!B91=$E$3))),'Monthly Activity Log'!I91,"")</f>
        <v/>
      </c>
      <c r="J92" s="70">
        <f>IF(AND(('Monthly Activity Log'!C91&lt;&gt;""),(OR($B$3="All",'Monthly Activity Log'!C91=$B$3)),(OR($E$3="All",'Monthly Activity Log'!B91=$E$3))),'Monthly Activity Log'!J91,"")</f>
        <v/>
      </c>
      <c r="K92" s="70">
        <f>IF(AND(('Monthly Activity Log'!C91&lt;&gt;""),(OR($B$3="All",'Monthly Activity Log'!C91=$B$3)),(OR($E$3="All",'Monthly Activity Log'!B91=$E$3))),'Monthly Activity Log'!K91,"")</f>
        <v/>
      </c>
    </row>
    <row r="93" ht="15.75" customHeight="1" s="65">
      <c r="A93" s="73">
        <f>IF(AND(('Monthly Activity Log'!C92&lt;&gt;""),(OR($B$3="All",'Monthly Activity Log'!C92=$B$3)),(OR($E$3="All",'Monthly Activity Log'!B92=$E$3))),ROW()-4,"")</f>
        <v/>
      </c>
      <c r="B93" s="74">
        <f>IF(AND(('Monthly Activity Log'!C92&lt;&gt;""),(OR($B$3="All",'Monthly Activity Log'!C92=$B$3)),(OR($E$3="All",'Monthly Activity Log'!B92=$E$3))),'Monthly Activity Log'!B92,"")</f>
        <v/>
      </c>
      <c r="C93" s="74">
        <f>IF(AND(('Monthly Activity Log'!C92&lt;&gt;""),(OR($B$3="All",'Monthly Activity Log'!C92=$B$3)),(OR($E$3="All",'Monthly Activity Log'!B92=$E$3))),'Monthly Activity Log'!C92,"")</f>
        <v/>
      </c>
      <c r="D93" s="74">
        <f>IF(AND(('Monthly Activity Log'!C92&lt;&gt;""),(OR($B$3="All",'Monthly Activity Log'!C92=$B$3)),(OR($E$3="All",'Monthly Activity Log'!B92=$E$3))),'Monthly Activity Log'!D92,"")</f>
        <v/>
      </c>
      <c r="E93" s="74">
        <f>IF(AND(('Monthly Activity Log'!C92&lt;&gt;""),(OR($B$3="All",'Monthly Activity Log'!C92=$B$3)),(OR($E$3="All",'Monthly Activity Log'!B92=$E$3))),'Monthly Activity Log'!E92,"")</f>
        <v/>
      </c>
      <c r="F93" s="74">
        <f>IF(AND(('Monthly Activity Log'!C92&lt;&gt;""),(OR($B$3="All",'Monthly Activity Log'!C92=$B$3)),(OR($E$3="All",'Monthly Activity Log'!B92=$E$3))),'Monthly Activity Log'!F92,"")</f>
        <v/>
      </c>
      <c r="G93" s="74">
        <f>IF(AND(('Monthly Activity Log'!C92&lt;&gt;""),(OR($B$3="All",'Monthly Activity Log'!C92=$B$3)),(OR($E$3="All",'Monthly Activity Log'!B92=$E$3))),'Monthly Activity Log'!G92,"")</f>
        <v/>
      </c>
      <c r="H93" s="74">
        <f>IF(AND(('Monthly Activity Log'!C92&lt;&gt;""),(OR($B$3="All",'Monthly Activity Log'!C92=$B$3)),(OR($E$3="All",'Monthly Activity Log'!B92=$E$3))),'Monthly Activity Log'!H92,"")</f>
        <v/>
      </c>
      <c r="I93" s="74">
        <f>IF(AND(('Monthly Activity Log'!C92&lt;&gt;""),(OR($B$3="All",'Monthly Activity Log'!C92=$B$3)),(OR($E$3="All",'Monthly Activity Log'!B92=$E$3))),'Monthly Activity Log'!I92,"")</f>
        <v/>
      </c>
      <c r="J93" s="74">
        <f>IF(AND(('Monthly Activity Log'!C92&lt;&gt;""),(OR($B$3="All",'Monthly Activity Log'!C92=$B$3)),(OR($E$3="All",'Monthly Activity Log'!B92=$E$3))),'Monthly Activity Log'!J92,"")</f>
        <v/>
      </c>
      <c r="K93" s="74">
        <f>IF(AND(('Monthly Activity Log'!C92&lt;&gt;""),(OR($B$3="All",'Monthly Activity Log'!C92=$B$3)),(OR($E$3="All",'Monthly Activity Log'!B92=$E$3))),'Monthly Activity Log'!K92,"")</f>
        <v/>
      </c>
    </row>
    <row r="94" ht="15.75" customHeight="1" s="65">
      <c r="A94" s="69">
        <f>IF(AND(('Monthly Activity Log'!C93&lt;&gt;""),(OR($B$3="All",'Monthly Activity Log'!C93=$B$3)),(OR($E$3="All",'Monthly Activity Log'!B93=$E$3))),ROW()-4,"")</f>
        <v/>
      </c>
      <c r="B94" s="70">
        <f>IF(AND(('Monthly Activity Log'!C93&lt;&gt;""),(OR($B$3="All",'Monthly Activity Log'!C93=$B$3)),(OR($E$3="All",'Monthly Activity Log'!B93=$E$3))),'Monthly Activity Log'!B93,"")</f>
        <v/>
      </c>
      <c r="C94" s="70">
        <f>IF(AND(('Monthly Activity Log'!C93&lt;&gt;""),(OR($B$3="All",'Monthly Activity Log'!C93=$B$3)),(OR($E$3="All",'Monthly Activity Log'!B93=$E$3))),'Monthly Activity Log'!C93,"")</f>
        <v/>
      </c>
      <c r="D94" s="70">
        <f>IF(AND(('Monthly Activity Log'!C93&lt;&gt;""),(OR($B$3="All",'Monthly Activity Log'!C93=$B$3)),(OR($E$3="All",'Monthly Activity Log'!B93=$E$3))),'Monthly Activity Log'!D93,"")</f>
        <v/>
      </c>
      <c r="E94" s="70">
        <f>IF(AND(('Monthly Activity Log'!C93&lt;&gt;""),(OR($B$3="All",'Monthly Activity Log'!C93=$B$3)),(OR($E$3="All",'Monthly Activity Log'!B93=$E$3))),'Monthly Activity Log'!E93,"")</f>
        <v/>
      </c>
      <c r="F94" s="70">
        <f>IF(AND(('Monthly Activity Log'!C93&lt;&gt;""),(OR($B$3="All",'Monthly Activity Log'!C93=$B$3)),(OR($E$3="All",'Monthly Activity Log'!B93=$E$3))),'Monthly Activity Log'!F93,"")</f>
        <v/>
      </c>
      <c r="G94" s="70">
        <f>IF(AND(('Monthly Activity Log'!C93&lt;&gt;""),(OR($B$3="All",'Monthly Activity Log'!C93=$B$3)),(OR($E$3="All",'Monthly Activity Log'!B93=$E$3))),'Monthly Activity Log'!G93,"")</f>
        <v/>
      </c>
      <c r="H94" s="70">
        <f>IF(AND(('Monthly Activity Log'!C93&lt;&gt;""),(OR($B$3="All",'Monthly Activity Log'!C93=$B$3)),(OR($E$3="All",'Monthly Activity Log'!B93=$E$3))),'Monthly Activity Log'!H93,"")</f>
        <v/>
      </c>
      <c r="I94" s="70">
        <f>IF(AND(('Monthly Activity Log'!C93&lt;&gt;""),(OR($B$3="All",'Monthly Activity Log'!C93=$B$3)),(OR($E$3="All",'Monthly Activity Log'!B93=$E$3))),'Monthly Activity Log'!I93,"")</f>
        <v/>
      </c>
      <c r="J94" s="70">
        <f>IF(AND(('Monthly Activity Log'!C93&lt;&gt;""),(OR($B$3="All",'Monthly Activity Log'!C93=$B$3)),(OR($E$3="All",'Monthly Activity Log'!B93=$E$3))),'Monthly Activity Log'!J93,"")</f>
        <v/>
      </c>
      <c r="K94" s="70">
        <f>IF(AND(('Monthly Activity Log'!C93&lt;&gt;""),(OR($B$3="All",'Monthly Activity Log'!C93=$B$3)),(OR($E$3="All",'Monthly Activity Log'!B93=$E$3))),'Monthly Activity Log'!K93,"")</f>
        <v/>
      </c>
    </row>
    <row r="95" ht="15.75" customHeight="1" s="65">
      <c r="A95" s="73">
        <f>IF(AND(('Monthly Activity Log'!C94&lt;&gt;""),(OR($B$3="All",'Monthly Activity Log'!C94=$B$3)),(OR($E$3="All",'Monthly Activity Log'!B94=$E$3))),ROW()-4,"")</f>
        <v/>
      </c>
      <c r="B95" s="74">
        <f>IF(AND(('Monthly Activity Log'!C94&lt;&gt;""),(OR($B$3="All",'Monthly Activity Log'!C94=$B$3)),(OR($E$3="All",'Monthly Activity Log'!B94=$E$3))),'Monthly Activity Log'!B94,"")</f>
        <v/>
      </c>
      <c r="C95" s="74">
        <f>IF(AND(('Monthly Activity Log'!C94&lt;&gt;""),(OR($B$3="All",'Monthly Activity Log'!C94=$B$3)),(OR($E$3="All",'Monthly Activity Log'!B94=$E$3))),'Monthly Activity Log'!C94,"")</f>
        <v/>
      </c>
      <c r="D95" s="74">
        <f>IF(AND(('Monthly Activity Log'!C94&lt;&gt;""),(OR($B$3="All",'Monthly Activity Log'!C94=$B$3)),(OR($E$3="All",'Monthly Activity Log'!B94=$E$3))),'Monthly Activity Log'!D94,"")</f>
        <v/>
      </c>
      <c r="E95" s="74">
        <f>IF(AND(('Monthly Activity Log'!C94&lt;&gt;""),(OR($B$3="All",'Monthly Activity Log'!C94=$B$3)),(OR($E$3="All",'Monthly Activity Log'!B94=$E$3))),'Monthly Activity Log'!E94,"")</f>
        <v/>
      </c>
      <c r="F95" s="74">
        <f>IF(AND(('Monthly Activity Log'!C94&lt;&gt;""),(OR($B$3="All",'Monthly Activity Log'!C94=$B$3)),(OR($E$3="All",'Monthly Activity Log'!B94=$E$3))),'Monthly Activity Log'!F94,"")</f>
        <v/>
      </c>
      <c r="G95" s="74">
        <f>IF(AND(('Monthly Activity Log'!C94&lt;&gt;""),(OR($B$3="All",'Monthly Activity Log'!C94=$B$3)),(OR($E$3="All",'Monthly Activity Log'!B94=$E$3))),'Monthly Activity Log'!G94,"")</f>
        <v/>
      </c>
      <c r="H95" s="74">
        <f>IF(AND(('Monthly Activity Log'!C94&lt;&gt;""),(OR($B$3="All",'Monthly Activity Log'!C94=$B$3)),(OR($E$3="All",'Monthly Activity Log'!B94=$E$3))),'Monthly Activity Log'!H94,"")</f>
        <v/>
      </c>
      <c r="I95" s="74">
        <f>IF(AND(('Monthly Activity Log'!C94&lt;&gt;""),(OR($B$3="All",'Monthly Activity Log'!C94=$B$3)),(OR($E$3="All",'Monthly Activity Log'!B94=$E$3))),'Monthly Activity Log'!I94,"")</f>
        <v/>
      </c>
      <c r="J95" s="74">
        <f>IF(AND(('Monthly Activity Log'!C94&lt;&gt;""),(OR($B$3="All",'Monthly Activity Log'!C94=$B$3)),(OR($E$3="All",'Monthly Activity Log'!B94=$E$3))),'Monthly Activity Log'!J94,"")</f>
        <v/>
      </c>
      <c r="K95" s="74">
        <f>IF(AND(('Monthly Activity Log'!C94&lt;&gt;""),(OR($B$3="All",'Monthly Activity Log'!C94=$B$3)),(OR($E$3="All",'Monthly Activity Log'!B94=$E$3))),'Monthly Activity Log'!K94,"")</f>
        <v/>
      </c>
    </row>
    <row r="96" ht="15.75" customHeight="1" s="65">
      <c r="A96" s="69">
        <f>IF(AND(('Monthly Activity Log'!C95&lt;&gt;""),(OR($B$3="All",'Monthly Activity Log'!C95=$B$3)),(OR($E$3="All",'Monthly Activity Log'!B95=$E$3))),ROW()-4,"")</f>
        <v/>
      </c>
      <c r="B96" s="70">
        <f>IF(AND(('Monthly Activity Log'!C95&lt;&gt;""),(OR($B$3="All",'Monthly Activity Log'!C95=$B$3)),(OR($E$3="All",'Monthly Activity Log'!B95=$E$3))),'Monthly Activity Log'!B95,"")</f>
        <v/>
      </c>
      <c r="C96" s="70">
        <f>IF(AND(('Monthly Activity Log'!C95&lt;&gt;""),(OR($B$3="All",'Monthly Activity Log'!C95=$B$3)),(OR($E$3="All",'Monthly Activity Log'!B95=$E$3))),'Monthly Activity Log'!C95,"")</f>
        <v/>
      </c>
      <c r="D96" s="70">
        <f>IF(AND(('Monthly Activity Log'!C95&lt;&gt;""),(OR($B$3="All",'Monthly Activity Log'!C95=$B$3)),(OR($E$3="All",'Monthly Activity Log'!B95=$E$3))),'Monthly Activity Log'!D95,"")</f>
        <v/>
      </c>
      <c r="E96" s="70">
        <f>IF(AND(('Monthly Activity Log'!C95&lt;&gt;""),(OR($B$3="All",'Monthly Activity Log'!C95=$B$3)),(OR($E$3="All",'Monthly Activity Log'!B95=$E$3))),'Monthly Activity Log'!E95,"")</f>
        <v/>
      </c>
      <c r="F96" s="70">
        <f>IF(AND(('Monthly Activity Log'!C95&lt;&gt;""),(OR($B$3="All",'Monthly Activity Log'!C95=$B$3)),(OR($E$3="All",'Monthly Activity Log'!B95=$E$3))),'Monthly Activity Log'!F95,"")</f>
        <v/>
      </c>
      <c r="G96" s="70">
        <f>IF(AND(('Monthly Activity Log'!C95&lt;&gt;""),(OR($B$3="All",'Monthly Activity Log'!C95=$B$3)),(OR($E$3="All",'Monthly Activity Log'!B95=$E$3))),'Monthly Activity Log'!G95,"")</f>
        <v/>
      </c>
      <c r="H96" s="70">
        <f>IF(AND(('Monthly Activity Log'!C95&lt;&gt;""),(OR($B$3="All",'Monthly Activity Log'!C95=$B$3)),(OR($E$3="All",'Monthly Activity Log'!B95=$E$3))),'Monthly Activity Log'!H95,"")</f>
        <v/>
      </c>
      <c r="I96" s="70">
        <f>IF(AND(('Monthly Activity Log'!C95&lt;&gt;""),(OR($B$3="All",'Monthly Activity Log'!C95=$B$3)),(OR($E$3="All",'Monthly Activity Log'!B95=$E$3))),'Monthly Activity Log'!I95,"")</f>
        <v/>
      </c>
      <c r="J96" s="70">
        <f>IF(AND(('Monthly Activity Log'!C95&lt;&gt;""),(OR($B$3="All",'Monthly Activity Log'!C95=$B$3)),(OR($E$3="All",'Monthly Activity Log'!B95=$E$3))),'Monthly Activity Log'!J95,"")</f>
        <v/>
      </c>
      <c r="K96" s="70">
        <f>IF(AND(('Monthly Activity Log'!C95&lt;&gt;""),(OR($B$3="All",'Monthly Activity Log'!C95=$B$3)),(OR($E$3="All",'Monthly Activity Log'!B95=$E$3))),'Monthly Activity Log'!K95,"")</f>
        <v/>
      </c>
    </row>
    <row r="97" ht="15.75" customHeight="1" s="65">
      <c r="A97" s="73">
        <f>IF(AND(('Monthly Activity Log'!C96&lt;&gt;""),(OR($B$3="All",'Monthly Activity Log'!C96=$B$3)),(OR($E$3="All",'Monthly Activity Log'!B96=$E$3))),ROW()-4,"")</f>
        <v/>
      </c>
      <c r="B97" s="74">
        <f>IF(AND(('Monthly Activity Log'!C96&lt;&gt;""),(OR($B$3="All",'Monthly Activity Log'!C96=$B$3)),(OR($E$3="All",'Monthly Activity Log'!B96=$E$3))),'Monthly Activity Log'!B96,"")</f>
        <v/>
      </c>
      <c r="C97" s="74">
        <f>IF(AND(('Monthly Activity Log'!C96&lt;&gt;""),(OR($B$3="All",'Monthly Activity Log'!C96=$B$3)),(OR($E$3="All",'Monthly Activity Log'!B96=$E$3))),'Monthly Activity Log'!C96,"")</f>
        <v/>
      </c>
      <c r="D97" s="74">
        <f>IF(AND(('Monthly Activity Log'!C96&lt;&gt;""),(OR($B$3="All",'Monthly Activity Log'!C96=$B$3)),(OR($E$3="All",'Monthly Activity Log'!B96=$E$3))),'Monthly Activity Log'!D96,"")</f>
        <v/>
      </c>
      <c r="E97" s="74">
        <f>IF(AND(('Monthly Activity Log'!C96&lt;&gt;""),(OR($B$3="All",'Monthly Activity Log'!C96=$B$3)),(OR($E$3="All",'Monthly Activity Log'!B96=$E$3))),'Monthly Activity Log'!E96,"")</f>
        <v/>
      </c>
      <c r="F97" s="74">
        <f>IF(AND(('Monthly Activity Log'!C96&lt;&gt;""),(OR($B$3="All",'Monthly Activity Log'!C96=$B$3)),(OR($E$3="All",'Monthly Activity Log'!B96=$E$3))),'Monthly Activity Log'!F96,"")</f>
        <v/>
      </c>
      <c r="G97" s="74">
        <f>IF(AND(('Monthly Activity Log'!C96&lt;&gt;""),(OR($B$3="All",'Monthly Activity Log'!C96=$B$3)),(OR($E$3="All",'Monthly Activity Log'!B96=$E$3))),'Monthly Activity Log'!G96,"")</f>
        <v/>
      </c>
      <c r="H97" s="74">
        <f>IF(AND(('Monthly Activity Log'!C96&lt;&gt;""),(OR($B$3="All",'Monthly Activity Log'!C96=$B$3)),(OR($E$3="All",'Monthly Activity Log'!B96=$E$3))),'Monthly Activity Log'!H96,"")</f>
        <v/>
      </c>
      <c r="I97" s="74">
        <f>IF(AND(('Monthly Activity Log'!C96&lt;&gt;""),(OR($B$3="All",'Monthly Activity Log'!C96=$B$3)),(OR($E$3="All",'Monthly Activity Log'!B96=$E$3))),'Monthly Activity Log'!I96,"")</f>
        <v/>
      </c>
      <c r="J97" s="74">
        <f>IF(AND(('Monthly Activity Log'!C96&lt;&gt;""),(OR($B$3="All",'Monthly Activity Log'!C96=$B$3)),(OR($E$3="All",'Monthly Activity Log'!B96=$E$3))),'Monthly Activity Log'!J96,"")</f>
        <v/>
      </c>
      <c r="K97" s="74">
        <f>IF(AND(('Monthly Activity Log'!C96&lt;&gt;""),(OR($B$3="All",'Monthly Activity Log'!C96=$B$3)),(OR($E$3="All",'Monthly Activity Log'!B96=$E$3))),'Monthly Activity Log'!K96,"")</f>
        <v/>
      </c>
    </row>
    <row r="98" ht="15.75" customHeight="1" s="65">
      <c r="A98" s="69">
        <f>IF(AND(('Monthly Activity Log'!C97&lt;&gt;""),(OR($B$3="All",'Monthly Activity Log'!C97=$B$3)),(OR($E$3="All",'Monthly Activity Log'!B97=$E$3))),ROW()-4,"")</f>
        <v/>
      </c>
      <c r="B98" s="70">
        <f>IF(AND(('Monthly Activity Log'!C97&lt;&gt;""),(OR($B$3="All",'Monthly Activity Log'!C97=$B$3)),(OR($E$3="All",'Monthly Activity Log'!B97=$E$3))),'Monthly Activity Log'!B97,"")</f>
        <v/>
      </c>
      <c r="C98" s="70">
        <f>IF(AND(('Monthly Activity Log'!C97&lt;&gt;""),(OR($B$3="All",'Monthly Activity Log'!C97=$B$3)),(OR($E$3="All",'Monthly Activity Log'!B97=$E$3))),'Monthly Activity Log'!C97,"")</f>
        <v/>
      </c>
      <c r="D98" s="70">
        <f>IF(AND(('Monthly Activity Log'!C97&lt;&gt;""),(OR($B$3="All",'Monthly Activity Log'!C97=$B$3)),(OR($E$3="All",'Monthly Activity Log'!B97=$E$3))),'Monthly Activity Log'!D97,"")</f>
        <v/>
      </c>
      <c r="E98" s="70">
        <f>IF(AND(('Monthly Activity Log'!C97&lt;&gt;""),(OR($B$3="All",'Monthly Activity Log'!C97=$B$3)),(OR($E$3="All",'Monthly Activity Log'!B97=$E$3))),'Monthly Activity Log'!E97,"")</f>
        <v/>
      </c>
      <c r="F98" s="70">
        <f>IF(AND(('Monthly Activity Log'!C97&lt;&gt;""),(OR($B$3="All",'Monthly Activity Log'!C97=$B$3)),(OR($E$3="All",'Monthly Activity Log'!B97=$E$3))),'Monthly Activity Log'!F97,"")</f>
        <v/>
      </c>
      <c r="G98" s="70">
        <f>IF(AND(('Monthly Activity Log'!C97&lt;&gt;""),(OR($B$3="All",'Monthly Activity Log'!C97=$B$3)),(OR($E$3="All",'Monthly Activity Log'!B97=$E$3))),'Monthly Activity Log'!G97,"")</f>
        <v/>
      </c>
      <c r="H98" s="70">
        <f>IF(AND(('Monthly Activity Log'!C97&lt;&gt;""),(OR($B$3="All",'Monthly Activity Log'!C97=$B$3)),(OR($E$3="All",'Monthly Activity Log'!B97=$E$3))),'Monthly Activity Log'!H97,"")</f>
        <v/>
      </c>
      <c r="I98" s="70">
        <f>IF(AND(('Monthly Activity Log'!C97&lt;&gt;""),(OR($B$3="All",'Monthly Activity Log'!C97=$B$3)),(OR($E$3="All",'Monthly Activity Log'!B97=$E$3))),'Monthly Activity Log'!I97,"")</f>
        <v/>
      </c>
      <c r="J98" s="70">
        <f>IF(AND(('Monthly Activity Log'!C97&lt;&gt;""),(OR($B$3="All",'Monthly Activity Log'!C97=$B$3)),(OR($E$3="All",'Monthly Activity Log'!B97=$E$3))),'Monthly Activity Log'!J97,"")</f>
        <v/>
      </c>
      <c r="K98" s="70">
        <f>IF(AND(('Monthly Activity Log'!C97&lt;&gt;""),(OR($B$3="All",'Monthly Activity Log'!C97=$B$3)),(OR($E$3="All",'Monthly Activity Log'!B97=$E$3))),'Monthly Activity Log'!K97,"")</f>
        <v/>
      </c>
    </row>
    <row r="99" ht="15.75" customHeight="1" s="65">
      <c r="A99" s="73">
        <f>IF(AND(('Monthly Activity Log'!C98&lt;&gt;""),(OR($B$3="All",'Monthly Activity Log'!C98=$B$3)),(OR($E$3="All",'Monthly Activity Log'!B98=$E$3))),ROW()-4,"")</f>
        <v/>
      </c>
      <c r="B99" s="74">
        <f>IF(AND(('Monthly Activity Log'!C98&lt;&gt;""),(OR($B$3="All",'Monthly Activity Log'!C98=$B$3)),(OR($E$3="All",'Monthly Activity Log'!B98=$E$3))),'Monthly Activity Log'!B98,"")</f>
        <v/>
      </c>
      <c r="C99" s="74">
        <f>IF(AND(('Monthly Activity Log'!C98&lt;&gt;""),(OR($B$3="All",'Monthly Activity Log'!C98=$B$3)),(OR($E$3="All",'Monthly Activity Log'!B98=$E$3))),'Monthly Activity Log'!C98,"")</f>
        <v/>
      </c>
      <c r="D99" s="74">
        <f>IF(AND(('Monthly Activity Log'!C98&lt;&gt;""),(OR($B$3="All",'Monthly Activity Log'!C98=$B$3)),(OR($E$3="All",'Monthly Activity Log'!B98=$E$3))),'Monthly Activity Log'!D98,"")</f>
        <v/>
      </c>
      <c r="E99" s="74">
        <f>IF(AND(('Monthly Activity Log'!C98&lt;&gt;""),(OR($B$3="All",'Monthly Activity Log'!C98=$B$3)),(OR($E$3="All",'Monthly Activity Log'!B98=$E$3))),'Monthly Activity Log'!E98,"")</f>
        <v/>
      </c>
      <c r="F99" s="74">
        <f>IF(AND(('Monthly Activity Log'!C98&lt;&gt;""),(OR($B$3="All",'Monthly Activity Log'!C98=$B$3)),(OR($E$3="All",'Monthly Activity Log'!B98=$E$3))),'Monthly Activity Log'!F98,"")</f>
        <v/>
      </c>
      <c r="G99" s="74">
        <f>IF(AND(('Monthly Activity Log'!C98&lt;&gt;""),(OR($B$3="All",'Monthly Activity Log'!C98=$B$3)),(OR($E$3="All",'Monthly Activity Log'!B98=$E$3))),'Monthly Activity Log'!G98,"")</f>
        <v/>
      </c>
      <c r="H99" s="74">
        <f>IF(AND(('Monthly Activity Log'!C98&lt;&gt;""),(OR($B$3="All",'Monthly Activity Log'!C98=$B$3)),(OR($E$3="All",'Monthly Activity Log'!B98=$E$3))),'Monthly Activity Log'!H98,"")</f>
        <v/>
      </c>
      <c r="I99" s="74">
        <f>IF(AND(('Monthly Activity Log'!C98&lt;&gt;""),(OR($B$3="All",'Monthly Activity Log'!C98=$B$3)),(OR($E$3="All",'Monthly Activity Log'!B98=$E$3))),'Monthly Activity Log'!I98,"")</f>
        <v/>
      </c>
      <c r="J99" s="74">
        <f>IF(AND(('Monthly Activity Log'!C98&lt;&gt;""),(OR($B$3="All",'Monthly Activity Log'!C98=$B$3)),(OR($E$3="All",'Monthly Activity Log'!B98=$E$3))),'Monthly Activity Log'!J98,"")</f>
        <v/>
      </c>
      <c r="K99" s="74">
        <f>IF(AND(('Monthly Activity Log'!C98&lt;&gt;""),(OR($B$3="All",'Monthly Activity Log'!C98=$B$3)),(OR($E$3="All",'Monthly Activity Log'!B98=$E$3))),'Monthly Activity Log'!K98,"")</f>
        <v/>
      </c>
    </row>
    <row r="100" ht="15.75" customHeight="1" s="65">
      <c r="A100" s="69">
        <f>IF(AND(('Monthly Activity Log'!C99&lt;&gt;""),(OR($B$3="All",'Monthly Activity Log'!C99=$B$3)),(OR($E$3="All",'Monthly Activity Log'!B99=$E$3))),ROW()-4,"")</f>
        <v/>
      </c>
      <c r="B100" s="70">
        <f>IF(AND(('Monthly Activity Log'!C99&lt;&gt;""),(OR($B$3="All",'Monthly Activity Log'!C99=$B$3)),(OR($E$3="All",'Monthly Activity Log'!B99=$E$3))),'Monthly Activity Log'!B99,"")</f>
        <v/>
      </c>
      <c r="C100" s="70">
        <f>IF(AND(('Monthly Activity Log'!C99&lt;&gt;""),(OR($B$3="All",'Monthly Activity Log'!C99=$B$3)),(OR($E$3="All",'Monthly Activity Log'!B99=$E$3))),'Monthly Activity Log'!C99,"")</f>
        <v/>
      </c>
      <c r="D100" s="70">
        <f>IF(AND(('Monthly Activity Log'!C99&lt;&gt;""),(OR($B$3="All",'Monthly Activity Log'!C99=$B$3)),(OR($E$3="All",'Monthly Activity Log'!B99=$E$3))),'Monthly Activity Log'!D99,"")</f>
        <v/>
      </c>
      <c r="E100" s="70">
        <f>IF(AND(('Monthly Activity Log'!C99&lt;&gt;""),(OR($B$3="All",'Monthly Activity Log'!C99=$B$3)),(OR($E$3="All",'Monthly Activity Log'!B99=$E$3))),'Monthly Activity Log'!E99,"")</f>
        <v/>
      </c>
      <c r="F100" s="70">
        <f>IF(AND(('Monthly Activity Log'!C99&lt;&gt;""),(OR($B$3="All",'Monthly Activity Log'!C99=$B$3)),(OR($E$3="All",'Monthly Activity Log'!B99=$E$3))),'Monthly Activity Log'!F99,"")</f>
        <v/>
      </c>
      <c r="G100" s="70">
        <f>IF(AND(('Monthly Activity Log'!C99&lt;&gt;""),(OR($B$3="All",'Monthly Activity Log'!C99=$B$3)),(OR($E$3="All",'Monthly Activity Log'!B99=$E$3))),'Monthly Activity Log'!G99,"")</f>
        <v/>
      </c>
      <c r="H100" s="70">
        <f>IF(AND(('Monthly Activity Log'!C99&lt;&gt;""),(OR($B$3="All",'Monthly Activity Log'!C99=$B$3)),(OR($E$3="All",'Monthly Activity Log'!B99=$E$3))),'Monthly Activity Log'!H99,"")</f>
        <v/>
      </c>
      <c r="I100" s="70">
        <f>IF(AND(('Monthly Activity Log'!C99&lt;&gt;""),(OR($B$3="All",'Monthly Activity Log'!C99=$B$3)),(OR($E$3="All",'Monthly Activity Log'!B99=$E$3))),'Monthly Activity Log'!I99,"")</f>
        <v/>
      </c>
      <c r="J100" s="70">
        <f>IF(AND(('Monthly Activity Log'!C99&lt;&gt;""),(OR($B$3="All",'Monthly Activity Log'!C99=$B$3)),(OR($E$3="All",'Monthly Activity Log'!B99=$E$3))),'Monthly Activity Log'!J99,"")</f>
        <v/>
      </c>
      <c r="K100" s="70">
        <f>IF(AND(('Monthly Activity Log'!C99&lt;&gt;""),(OR($B$3="All",'Monthly Activity Log'!C99=$B$3)),(OR($E$3="All",'Monthly Activity Log'!B99=$E$3))),'Monthly Activity Log'!K99,"")</f>
        <v/>
      </c>
    </row>
    <row r="101" ht="15.75" customHeight="1" s="65">
      <c r="A101" s="73">
        <f>IF(AND(('Monthly Activity Log'!C100&lt;&gt;""),(OR($B$3="All",'Monthly Activity Log'!C100=$B$3)),(OR($E$3="All",'Monthly Activity Log'!B100=$E$3))),ROW()-4,"")</f>
        <v/>
      </c>
      <c r="B101" s="74">
        <f>IF(AND(('Monthly Activity Log'!C100&lt;&gt;""),(OR($B$3="All",'Monthly Activity Log'!C100=$B$3)),(OR($E$3="All",'Monthly Activity Log'!B100=$E$3))),'Monthly Activity Log'!B100,"")</f>
        <v/>
      </c>
      <c r="C101" s="74">
        <f>IF(AND(('Monthly Activity Log'!C100&lt;&gt;""),(OR($B$3="All",'Monthly Activity Log'!C100=$B$3)),(OR($E$3="All",'Monthly Activity Log'!B100=$E$3))),'Monthly Activity Log'!C100,"")</f>
        <v/>
      </c>
      <c r="D101" s="74">
        <f>IF(AND(('Monthly Activity Log'!C100&lt;&gt;""),(OR($B$3="All",'Monthly Activity Log'!C100=$B$3)),(OR($E$3="All",'Monthly Activity Log'!B100=$E$3))),'Monthly Activity Log'!D100,"")</f>
        <v/>
      </c>
      <c r="E101" s="74">
        <f>IF(AND(('Monthly Activity Log'!C100&lt;&gt;""),(OR($B$3="All",'Monthly Activity Log'!C100=$B$3)),(OR($E$3="All",'Monthly Activity Log'!B100=$E$3))),'Monthly Activity Log'!E100,"")</f>
        <v/>
      </c>
      <c r="F101" s="74">
        <f>IF(AND(('Monthly Activity Log'!C100&lt;&gt;""),(OR($B$3="All",'Monthly Activity Log'!C100=$B$3)),(OR($E$3="All",'Monthly Activity Log'!B100=$E$3))),'Monthly Activity Log'!F100,"")</f>
        <v/>
      </c>
      <c r="G101" s="74">
        <f>IF(AND(('Monthly Activity Log'!C100&lt;&gt;""),(OR($B$3="All",'Monthly Activity Log'!C100=$B$3)),(OR($E$3="All",'Monthly Activity Log'!B100=$E$3))),'Monthly Activity Log'!G100,"")</f>
        <v/>
      </c>
      <c r="H101" s="74">
        <f>IF(AND(('Monthly Activity Log'!C100&lt;&gt;""),(OR($B$3="All",'Monthly Activity Log'!C100=$B$3)),(OR($E$3="All",'Monthly Activity Log'!B100=$E$3))),'Monthly Activity Log'!H100,"")</f>
        <v/>
      </c>
      <c r="I101" s="74">
        <f>IF(AND(('Monthly Activity Log'!C100&lt;&gt;""),(OR($B$3="All",'Monthly Activity Log'!C100=$B$3)),(OR($E$3="All",'Monthly Activity Log'!B100=$E$3))),'Monthly Activity Log'!I100,"")</f>
        <v/>
      </c>
      <c r="J101" s="74">
        <f>IF(AND(('Monthly Activity Log'!C100&lt;&gt;""),(OR($B$3="All",'Monthly Activity Log'!C100=$B$3)),(OR($E$3="All",'Monthly Activity Log'!B100=$E$3))),'Monthly Activity Log'!J100,"")</f>
        <v/>
      </c>
      <c r="K101" s="74">
        <f>IF(AND(('Monthly Activity Log'!C100&lt;&gt;""),(OR($B$3="All",'Monthly Activity Log'!C100=$B$3)),(OR($E$3="All",'Monthly Activity Log'!B100=$E$3))),'Monthly Activity Log'!K100,"")</f>
        <v/>
      </c>
    </row>
    <row r="102" ht="15.75" customHeight="1" s="65">
      <c r="A102" s="69">
        <f>IF(AND(('Monthly Activity Log'!C101&lt;&gt;""),(OR($B$3="All",'Monthly Activity Log'!C101=$B$3)),(OR($E$3="All",'Monthly Activity Log'!B101=$E$3))),ROW()-4,"")</f>
        <v/>
      </c>
      <c r="B102" s="70">
        <f>IF(AND(('Monthly Activity Log'!C101&lt;&gt;""),(OR($B$3="All",'Monthly Activity Log'!C101=$B$3)),(OR($E$3="All",'Monthly Activity Log'!B101=$E$3))),'Monthly Activity Log'!B101,"")</f>
        <v/>
      </c>
      <c r="C102" s="70">
        <f>IF(AND(('Monthly Activity Log'!C101&lt;&gt;""),(OR($B$3="All",'Monthly Activity Log'!C101=$B$3)),(OR($E$3="All",'Monthly Activity Log'!B101=$E$3))),'Monthly Activity Log'!C101,"")</f>
        <v/>
      </c>
      <c r="D102" s="70">
        <f>IF(AND(('Monthly Activity Log'!C101&lt;&gt;""),(OR($B$3="All",'Monthly Activity Log'!C101=$B$3)),(OR($E$3="All",'Monthly Activity Log'!B101=$E$3))),'Monthly Activity Log'!D101,"")</f>
        <v/>
      </c>
      <c r="E102" s="70">
        <f>IF(AND(('Monthly Activity Log'!C101&lt;&gt;""),(OR($B$3="All",'Monthly Activity Log'!C101=$B$3)),(OR($E$3="All",'Monthly Activity Log'!B101=$E$3))),'Monthly Activity Log'!E101,"")</f>
        <v/>
      </c>
      <c r="F102" s="70">
        <f>IF(AND(('Monthly Activity Log'!C101&lt;&gt;""),(OR($B$3="All",'Monthly Activity Log'!C101=$B$3)),(OR($E$3="All",'Monthly Activity Log'!B101=$E$3))),'Monthly Activity Log'!F101,"")</f>
        <v/>
      </c>
      <c r="G102" s="70">
        <f>IF(AND(('Monthly Activity Log'!C101&lt;&gt;""),(OR($B$3="All",'Monthly Activity Log'!C101=$B$3)),(OR($E$3="All",'Monthly Activity Log'!B101=$E$3))),'Monthly Activity Log'!G101,"")</f>
        <v/>
      </c>
      <c r="H102" s="70">
        <f>IF(AND(('Monthly Activity Log'!C101&lt;&gt;""),(OR($B$3="All",'Monthly Activity Log'!C101=$B$3)),(OR($E$3="All",'Monthly Activity Log'!B101=$E$3))),'Monthly Activity Log'!H101,"")</f>
        <v/>
      </c>
      <c r="I102" s="70">
        <f>IF(AND(('Monthly Activity Log'!C101&lt;&gt;""),(OR($B$3="All",'Monthly Activity Log'!C101=$B$3)),(OR($E$3="All",'Monthly Activity Log'!B101=$E$3))),'Monthly Activity Log'!I101,"")</f>
        <v/>
      </c>
      <c r="J102" s="70">
        <f>IF(AND(('Monthly Activity Log'!C101&lt;&gt;""),(OR($B$3="All",'Monthly Activity Log'!C101=$B$3)),(OR($E$3="All",'Monthly Activity Log'!B101=$E$3))),'Monthly Activity Log'!J101,"")</f>
        <v/>
      </c>
      <c r="K102" s="70">
        <f>IF(AND(('Monthly Activity Log'!C101&lt;&gt;""),(OR($B$3="All",'Monthly Activity Log'!C101=$B$3)),(OR($E$3="All",'Monthly Activity Log'!B101=$E$3))),'Monthly Activity Log'!K101,"")</f>
        <v/>
      </c>
    </row>
    <row r="103" ht="15.75" customHeight="1" s="65">
      <c r="A103" s="73">
        <f>IF(AND(('Monthly Activity Log'!C102&lt;&gt;""),(OR($B$3="All",'Monthly Activity Log'!C102=$B$3)),(OR($E$3="All",'Monthly Activity Log'!B102=$E$3))),ROW()-4,"")</f>
        <v/>
      </c>
      <c r="B103" s="74">
        <f>IF(AND(('Monthly Activity Log'!C102&lt;&gt;""),(OR($B$3="All",'Monthly Activity Log'!C102=$B$3)),(OR($E$3="All",'Monthly Activity Log'!B102=$E$3))),'Monthly Activity Log'!B102,"")</f>
        <v/>
      </c>
      <c r="C103" s="74">
        <f>IF(AND(('Monthly Activity Log'!C102&lt;&gt;""),(OR($B$3="All",'Monthly Activity Log'!C102=$B$3)),(OR($E$3="All",'Monthly Activity Log'!B102=$E$3))),'Monthly Activity Log'!C102,"")</f>
        <v/>
      </c>
      <c r="D103" s="74">
        <f>IF(AND(('Monthly Activity Log'!C102&lt;&gt;""),(OR($B$3="All",'Monthly Activity Log'!C102=$B$3)),(OR($E$3="All",'Monthly Activity Log'!B102=$E$3))),'Monthly Activity Log'!D102,"")</f>
        <v/>
      </c>
      <c r="E103" s="74">
        <f>IF(AND(('Monthly Activity Log'!C102&lt;&gt;""),(OR($B$3="All",'Monthly Activity Log'!C102=$B$3)),(OR($E$3="All",'Monthly Activity Log'!B102=$E$3))),'Monthly Activity Log'!E102,"")</f>
        <v/>
      </c>
      <c r="F103" s="74">
        <f>IF(AND(('Monthly Activity Log'!C102&lt;&gt;""),(OR($B$3="All",'Monthly Activity Log'!C102=$B$3)),(OR($E$3="All",'Monthly Activity Log'!B102=$E$3))),'Monthly Activity Log'!F102,"")</f>
        <v/>
      </c>
      <c r="G103" s="74">
        <f>IF(AND(('Monthly Activity Log'!C102&lt;&gt;""),(OR($B$3="All",'Monthly Activity Log'!C102=$B$3)),(OR($E$3="All",'Monthly Activity Log'!B102=$E$3))),'Monthly Activity Log'!G102,"")</f>
        <v/>
      </c>
      <c r="H103" s="74">
        <f>IF(AND(('Monthly Activity Log'!C102&lt;&gt;""),(OR($B$3="All",'Monthly Activity Log'!C102=$B$3)),(OR($E$3="All",'Monthly Activity Log'!B102=$E$3))),'Monthly Activity Log'!H102,"")</f>
        <v/>
      </c>
      <c r="I103" s="74">
        <f>IF(AND(('Monthly Activity Log'!C102&lt;&gt;""),(OR($B$3="All",'Monthly Activity Log'!C102=$B$3)),(OR($E$3="All",'Monthly Activity Log'!B102=$E$3))),'Monthly Activity Log'!I102,"")</f>
        <v/>
      </c>
      <c r="J103" s="74">
        <f>IF(AND(('Monthly Activity Log'!C102&lt;&gt;""),(OR($B$3="All",'Monthly Activity Log'!C102=$B$3)),(OR($E$3="All",'Monthly Activity Log'!B102=$E$3))),'Monthly Activity Log'!J102,"")</f>
        <v/>
      </c>
      <c r="K103" s="74">
        <f>IF(AND(('Monthly Activity Log'!C102&lt;&gt;""),(OR($B$3="All",'Monthly Activity Log'!C102=$B$3)),(OR($E$3="All",'Monthly Activity Log'!B102=$E$3))),'Monthly Activity Log'!K102,"")</f>
        <v/>
      </c>
    </row>
    <row r="104" ht="15.75" customHeight="1" s="65">
      <c r="A104" s="69">
        <f>IF(AND(('Monthly Activity Log'!C103&lt;&gt;""),(OR($B$3="All",'Monthly Activity Log'!C103=$B$3)),(OR($E$3="All",'Monthly Activity Log'!B103=$E$3))),ROW()-4,"")</f>
        <v/>
      </c>
      <c r="B104" s="70">
        <f>IF(AND(('Monthly Activity Log'!C103&lt;&gt;""),(OR($B$3="All",'Monthly Activity Log'!C103=$B$3)),(OR($E$3="All",'Monthly Activity Log'!B103=$E$3))),'Monthly Activity Log'!B103,"")</f>
        <v/>
      </c>
      <c r="C104" s="70">
        <f>IF(AND(('Monthly Activity Log'!C103&lt;&gt;""),(OR($B$3="All",'Monthly Activity Log'!C103=$B$3)),(OR($E$3="All",'Monthly Activity Log'!B103=$E$3))),'Monthly Activity Log'!C103,"")</f>
        <v/>
      </c>
      <c r="D104" s="70">
        <f>IF(AND(('Monthly Activity Log'!C103&lt;&gt;""),(OR($B$3="All",'Monthly Activity Log'!C103=$B$3)),(OR($E$3="All",'Monthly Activity Log'!B103=$E$3))),'Monthly Activity Log'!D103,"")</f>
        <v/>
      </c>
      <c r="E104" s="70">
        <f>IF(AND(('Monthly Activity Log'!C103&lt;&gt;""),(OR($B$3="All",'Monthly Activity Log'!C103=$B$3)),(OR($E$3="All",'Monthly Activity Log'!B103=$E$3))),'Monthly Activity Log'!E103,"")</f>
        <v/>
      </c>
      <c r="F104" s="70">
        <f>IF(AND(('Monthly Activity Log'!C103&lt;&gt;""),(OR($B$3="All",'Monthly Activity Log'!C103=$B$3)),(OR($E$3="All",'Monthly Activity Log'!B103=$E$3))),'Monthly Activity Log'!F103,"")</f>
        <v/>
      </c>
      <c r="G104" s="70">
        <f>IF(AND(('Monthly Activity Log'!C103&lt;&gt;""),(OR($B$3="All",'Monthly Activity Log'!C103=$B$3)),(OR($E$3="All",'Monthly Activity Log'!B103=$E$3))),'Monthly Activity Log'!G103,"")</f>
        <v/>
      </c>
      <c r="H104" s="70">
        <f>IF(AND(('Monthly Activity Log'!C103&lt;&gt;""),(OR($B$3="All",'Monthly Activity Log'!C103=$B$3)),(OR($E$3="All",'Monthly Activity Log'!B103=$E$3))),'Monthly Activity Log'!H103,"")</f>
        <v/>
      </c>
      <c r="I104" s="70">
        <f>IF(AND(('Monthly Activity Log'!C103&lt;&gt;""),(OR($B$3="All",'Monthly Activity Log'!C103=$B$3)),(OR($E$3="All",'Monthly Activity Log'!B103=$E$3))),'Monthly Activity Log'!I103,"")</f>
        <v/>
      </c>
      <c r="J104" s="70">
        <f>IF(AND(('Monthly Activity Log'!C103&lt;&gt;""),(OR($B$3="All",'Monthly Activity Log'!C103=$B$3)),(OR($E$3="All",'Monthly Activity Log'!B103=$E$3))),'Monthly Activity Log'!J103,"")</f>
        <v/>
      </c>
      <c r="K104" s="70">
        <f>IF(AND(('Monthly Activity Log'!C103&lt;&gt;""),(OR($B$3="All",'Monthly Activity Log'!C103=$B$3)),(OR($E$3="All",'Monthly Activity Log'!B103=$E$3))),'Monthly Activity Log'!K103,"")</f>
        <v/>
      </c>
    </row>
    <row r="105" ht="15.75" customHeight="1" s="65">
      <c r="A105" s="73">
        <f>IF(AND(('Monthly Activity Log'!C104&lt;&gt;""),(OR($B$3="All",'Monthly Activity Log'!C104=$B$3)),(OR($E$3="All",'Monthly Activity Log'!B104=$E$3))),ROW()-4,"")</f>
        <v/>
      </c>
      <c r="B105" s="74">
        <f>IF(AND(('Monthly Activity Log'!C104&lt;&gt;""),(OR($B$3="All",'Monthly Activity Log'!C104=$B$3)),(OR($E$3="All",'Monthly Activity Log'!B104=$E$3))),'Monthly Activity Log'!B104,"")</f>
        <v/>
      </c>
      <c r="C105" s="74">
        <f>IF(AND(('Monthly Activity Log'!C104&lt;&gt;""),(OR($B$3="All",'Monthly Activity Log'!C104=$B$3)),(OR($E$3="All",'Monthly Activity Log'!B104=$E$3))),'Monthly Activity Log'!C104,"")</f>
        <v/>
      </c>
      <c r="D105" s="74">
        <f>IF(AND(('Monthly Activity Log'!C104&lt;&gt;""),(OR($B$3="All",'Monthly Activity Log'!C104=$B$3)),(OR($E$3="All",'Monthly Activity Log'!B104=$E$3))),'Monthly Activity Log'!D104,"")</f>
        <v/>
      </c>
      <c r="E105" s="74">
        <f>IF(AND(('Monthly Activity Log'!C104&lt;&gt;""),(OR($B$3="All",'Monthly Activity Log'!C104=$B$3)),(OR($E$3="All",'Monthly Activity Log'!B104=$E$3))),'Monthly Activity Log'!E104,"")</f>
        <v/>
      </c>
      <c r="F105" s="74">
        <f>IF(AND(('Monthly Activity Log'!C104&lt;&gt;""),(OR($B$3="All",'Monthly Activity Log'!C104=$B$3)),(OR($E$3="All",'Monthly Activity Log'!B104=$E$3))),'Monthly Activity Log'!F104,"")</f>
        <v/>
      </c>
      <c r="G105" s="74">
        <f>IF(AND(('Monthly Activity Log'!C104&lt;&gt;""),(OR($B$3="All",'Monthly Activity Log'!C104=$B$3)),(OR($E$3="All",'Monthly Activity Log'!B104=$E$3))),'Monthly Activity Log'!G104,"")</f>
        <v/>
      </c>
      <c r="H105" s="74">
        <f>IF(AND(('Monthly Activity Log'!C104&lt;&gt;""),(OR($B$3="All",'Monthly Activity Log'!C104=$B$3)),(OR($E$3="All",'Monthly Activity Log'!B104=$E$3))),'Monthly Activity Log'!H104,"")</f>
        <v/>
      </c>
      <c r="I105" s="74">
        <f>IF(AND(('Monthly Activity Log'!C104&lt;&gt;""),(OR($B$3="All",'Monthly Activity Log'!C104=$B$3)),(OR($E$3="All",'Monthly Activity Log'!B104=$E$3))),'Monthly Activity Log'!I104,"")</f>
        <v/>
      </c>
      <c r="J105" s="74">
        <f>IF(AND(('Monthly Activity Log'!C104&lt;&gt;""),(OR($B$3="All",'Monthly Activity Log'!C104=$B$3)),(OR($E$3="All",'Monthly Activity Log'!B104=$E$3))),'Monthly Activity Log'!J104,"")</f>
        <v/>
      </c>
      <c r="K105" s="74">
        <f>IF(AND(('Monthly Activity Log'!C104&lt;&gt;""),(OR($B$3="All",'Monthly Activity Log'!C104=$B$3)),(OR($E$3="All",'Monthly Activity Log'!B104=$E$3))),'Monthly Activity Log'!K104,"")</f>
        <v/>
      </c>
    </row>
    <row r="106" ht="15.75" customHeight="1" s="65">
      <c r="A106" s="69">
        <f>IF(AND(('Monthly Activity Log'!C105&lt;&gt;""),(OR($B$3="All",'Monthly Activity Log'!C105=$B$3)),(OR($E$3="All",'Monthly Activity Log'!B105=$E$3))),ROW()-4,"")</f>
        <v/>
      </c>
      <c r="B106" s="70">
        <f>IF(AND(('Monthly Activity Log'!C105&lt;&gt;""),(OR($B$3="All",'Monthly Activity Log'!C105=$B$3)),(OR($E$3="All",'Monthly Activity Log'!B105=$E$3))),'Monthly Activity Log'!B105,"")</f>
        <v/>
      </c>
      <c r="C106" s="70">
        <f>IF(AND(('Monthly Activity Log'!C105&lt;&gt;""),(OR($B$3="All",'Monthly Activity Log'!C105=$B$3)),(OR($E$3="All",'Monthly Activity Log'!B105=$E$3))),'Monthly Activity Log'!C105,"")</f>
        <v/>
      </c>
      <c r="D106" s="70">
        <f>IF(AND(('Monthly Activity Log'!C105&lt;&gt;""),(OR($B$3="All",'Monthly Activity Log'!C105=$B$3)),(OR($E$3="All",'Monthly Activity Log'!B105=$E$3))),'Monthly Activity Log'!D105,"")</f>
        <v/>
      </c>
      <c r="E106" s="70">
        <f>IF(AND(('Monthly Activity Log'!C105&lt;&gt;""),(OR($B$3="All",'Monthly Activity Log'!C105=$B$3)),(OR($E$3="All",'Monthly Activity Log'!B105=$E$3))),'Monthly Activity Log'!E105,"")</f>
        <v/>
      </c>
      <c r="F106" s="70">
        <f>IF(AND(('Monthly Activity Log'!C105&lt;&gt;""),(OR($B$3="All",'Monthly Activity Log'!C105=$B$3)),(OR($E$3="All",'Monthly Activity Log'!B105=$E$3))),'Monthly Activity Log'!F105,"")</f>
        <v/>
      </c>
      <c r="G106" s="70">
        <f>IF(AND(('Monthly Activity Log'!C105&lt;&gt;""),(OR($B$3="All",'Monthly Activity Log'!C105=$B$3)),(OR($E$3="All",'Monthly Activity Log'!B105=$E$3))),'Monthly Activity Log'!G105,"")</f>
        <v/>
      </c>
      <c r="H106" s="70">
        <f>IF(AND(('Monthly Activity Log'!C105&lt;&gt;""),(OR($B$3="All",'Monthly Activity Log'!C105=$B$3)),(OR($E$3="All",'Monthly Activity Log'!B105=$E$3))),'Monthly Activity Log'!H105,"")</f>
        <v/>
      </c>
      <c r="I106" s="70">
        <f>IF(AND(('Monthly Activity Log'!C105&lt;&gt;""),(OR($B$3="All",'Monthly Activity Log'!C105=$B$3)),(OR($E$3="All",'Monthly Activity Log'!B105=$E$3))),'Monthly Activity Log'!I105,"")</f>
        <v/>
      </c>
      <c r="J106" s="70">
        <f>IF(AND(('Monthly Activity Log'!C105&lt;&gt;""),(OR($B$3="All",'Monthly Activity Log'!C105=$B$3)),(OR($E$3="All",'Monthly Activity Log'!B105=$E$3))),'Monthly Activity Log'!J105,"")</f>
        <v/>
      </c>
      <c r="K106" s="70">
        <f>IF(AND(('Monthly Activity Log'!C105&lt;&gt;""),(OR($B$3="All",'Monthly Activity Log'!C105=$B$3)),(OR($E$3="All",'Monthly Activity Log'!B105=$E$3))),'Monthly Activity Log'!K105,"")</f>
        <v/>
      </c>
    </row>
    <row r="107" ht="15.75" customHeight="1" s="65">
      <c r="A107" s="73">
        <f>IF(AND(('Monthly Activity Log'!C106&lt;&gt;""),(OR($B$3="All",'Monthly Activity Log'!C106=$B$3)),(OR($E$3="All",'Monthly Activity Log'!B106=$E$3))),ROW()-4,"")</f>
        <v/>
      </c>
      <c r="B107" s="74">
        <f>IF(AND(('Monthly Activity Log'!C106&lt;&gt;""),(OR($B$3="All",'Monthly Activity Log'!C106=$B$3)),(OR($E$3="All",'Monthly Activity Log'!B106=$E$3))),'Monthly Activity Log'!B106,"")</f>
        <v/>
      </c>
      <c r="C107" s="74">
        <f>IF(AND(('Monthly Activity Log'!C106&lt;&gt;""),(OR($B$3="All",'Monthly Activity Log'!C106=$B$3)),(OR($E$3="All",'Monthly Activity Log'!B106=$E$3))),'Monthly Activity Log'!C106,"")</f>
        <v/>
      </c>
      <c r="D107" s="74">
        <f>IF(AND(('Monthly Activity Log'!C106&lt;&gt;""),(OR($B$3="All",'Monthly Activity Log'!C106=$B$3)),(OR($E$3="All",'Monthly Activity Log'!B106=$E$3))),'Monthly Activity Log'!D106,"")</f>
        <v/>
      </c>
      <c r="E107" s="74">
        <f>IF(AND(('Monthly Activity Log'!C106&lt;&gt;""),(OR($B$3="All",'Monthly Activity Log'!C106=$B$3)),(OR($E$3="All",'Monthly Activity Log'!B106=$E$3))),'Monthly Activity Log'!E106,"")</f>
        <v/>
      </c>
      <c r="F107" s="74">
        <f>IF(AND(('Monthly Activity Log'!C106&lt;&gt;""),(OR($B$3="All",'Monthly Activity Log'!C106=$B$3)),(OR($E$3="All",'Monthly Activity Log'!B106=$E$3))),'Monthly Activity Log'!F106,"")</f>
        <v/>
      </c>
      <c r="G107" s="74">
        <f>IF(AND(('Monthly Activity Log'!C106&lt;&gt;""),(OR($B$3="All",'Monthly Activity Log'!C106=$B$3)),(OR($E$3="All",'Monthly Activity Log'!B106=$E$3))),'Monthly Activity Log'!G106,"")</f>
        <v/>
      </c>
      <c r="H107" s="74">
        <f>IF(AND(('Monthly Activity Log'!C106&lt;&gt;""),(OR($B$3="All",'Monthly Activity Log'!C106=$B$3)),(OR($E$3="All",'Monthly Activity Log'!B106=$E$3))),'Monthly Activity Log'!H106,"")</f>
        <v/>
      </c>
      <c r="I107" s="74">
        <f>IF(AND(('Monthly Activity Log'!C106&lt;&gt;""),(OR($B$3="All",'Monthly Activity Log'!C106=$B$3)),(OR($E$3="All",'Monthly Activity Log'!B106=$E$3))),'Monthly Activity Log'!I106,"")</f>
        <v/>
      </c>
      <c r="J107" s="74">
        <f>IF(AND(('Monthly Activity Log'!C106&lt;&gt;""),(OR($B$3="All",'Monthly Activity Log'!C106=$B$3)),(OR($E$3="All",'Monthly Activity Log'!B106=$E$3))),'Monthly Activity Log'!J106,"")</f>
        <v/>
      </c>
      <c r="K107" s="74">
        <f>IF(AND(('Monthly Activity Log'!C106&lt;&gt;""),(OR($B$3="All",'Monthly Activity Log'!C106=$B$3)),(OR($E$3="All",'Monthly Activity Log'!B106=$E$3))),'Monthly Activity Log'!K106,"")</f>
        <v/>
      </c>
    </row>
    <row r="108" ht="15.75" customHeight="1" s="65">
      <c r="A108" s="69">
        <f>IF(AND(('Monthly Activity Log'!C107&lt;&gt;""),(OR($B$3="All",'Monthly Activity Log'!C107=$B$3)),(OR($E$3="All",'Monthly Activity Log'!B107=$E$3))),ROW()-4,"")</f>
        <v/>
      </c>
      <c r="B108" s="70">
        <f>IF(AND(('Monthly Activity Log'!C107&lt;&gt;""),(OR($B$3="All",'Monthly Activity Log'!C107=$B$3)),(OR($E$3="All",'Monthly Activity Log'!B107=$E$3))),'Monthly Activity Log'!B107,"")</f>
        <v/>
      </c>
      <c r="C108" s="70">
        <f>IF(AND(('Monthly Activity Log'!C107&lt;&gt;""),(OR($B$3="All",'Monthly Activity Log'!C107=$B$3)),(OR($E$3="All",'Monthly Activity Log'!B107=$E$3))),'Monthly Activity Log'!C107,"")</f>
        <v/>
      </c>
      <c r="D108" s="70">
        <f>IF(AND(('Monthly Activity Log'!C107&lt;&gt;""),(OR($B$3="All",'Monthly Activity Log'!C107=$B$3)),(OR($E$3="All",'Monthly Activity Log'!B107=$E$3))),'Monthly Activity Log'!D107,"")</f>
        <v/>
      </c>
      <c r="E108" s="70">
        <f>IF(AND(('Monthly Activity Log'!C107&lt;&gt;""),(OR($B$3="All",'Monthly Activity Log'!C107=$B$3)),(OR($E$3="All",'Monthly Activity Log'!B107=$E$3))),'Monthly Activity Log'!E107,"")</f>
        <v/>
      </c>
      <c r="F108" s="70">
        <f>IF(AND(('Monthly Activity Log'!C107&lt;&gt;""),(OR($B$3="All",'Monthly Activity Log'!C107=$B$3)),(OR($E$3="All",'Monthly Activity Log'!B107=$E$3))),'Monthly Activity Log'!F107,"")</f>
        <v/>
      </c>
      <c r="G108" s="70">
        <f>IF(AND(('Monthly Activity Log'!C107&lt;&gt;""),(OR($B$3="All",'Monthly Activity Log'!C107=$B$3)),(OR($E$3="All",'Monthly Activity Log'!B107=$E$3))),'Monthly Activity Log'!G107,"")</f>
        <v/>
      </c>
      <c r="H108" s="70">
        <f>IF(AND(('Monthly Activity Log'!C107&lt;&gt;""),(OR($B$3="All",'Monthly Activity Log'!C107=$B$3)),(OR($E$3="All",'Monthly Activity Log'!B107=$E$3))),'Monthly Activity Log'!H107,"")</f>
        <v/>
      </c>
      <c r="I108" s="70">
        <f>IF(AND(('Monthly Activity Log'!C107&lt;&gt;""),(OR($B$3="All",'Monthly Activity Log'!C107=$B$3)),(OR($E$3="All",'Monthly Activity Log'!B107=$E$3))),'Monthly Activity Log'!I107,"")</f>
        <v/>
      </c>
      <c r="J108" s="70">
        <f>IF(AND(('Monthly Activity Log'!C107&lt;&gt;""),(OR($B$3="All",'Monthly Activity Log'!C107=$B$3)),(OR($E$3="All",'Monthly Activity Log'!B107=$E$3))),'Monthly Activity Log'!J107,"")</f>
        <v/>
      </c>
      <c r="K108" s="70">
        <f>IF(AND(('Monthly Activity Log'!C107&lt;&gt;""),(OR($B$3="All",'Monthly Activity Log'!C107=$B$3)),(OR($E$3="All",'Monthly Activity Log'!B107=$E$3))),'Monthly Activity Log'!K107,"")</f>
        <v/>
      </c>
    </row>
    <row r="109" ht="15.75" customHeight="1" s="65">
      <c r="A109" s="73">
        <f>IF(AND(('Monthly Activity Log'!C108&lt;&gt;""),(OR($B$3="All",'Monthly Activity Log'!C108=$B$3)),(OR($E$3="All",'Monthly Activity Log'!B108=$E$3))),ROW()-4,"")</f>
        <v/>
      </c>
      <c r="B109" s="74">
        <f>IF(AND(('Monthly Activity Log'!C108&lt;&gt;""),(OR($B$3="All",'Monthly Activity Log'!C108=$B$3)),(OR($E$3="All",'Monthly Activity Log'!B108=$E$3))),'Monthly Activity Log'!B108,"")</f>
        <v/>
      </c>
      <c r="C109" s="74">
        <f>IF(AND(('Monthly Activity Log'!C108&lt;&gt;""),(OR($B$3="All",'Monthly Activity Log'!C108=$B$3)),(OR($E$3="All",'Monthly Activity Log'!B108=$E$3))),'Monthly Activity Log'!C108,"")</f>
        <v/>
      </c>
      <c r="D109" s="74">
        <f>IF(AND(('Monthly Activity Log'!C108&lt;&gt;""),(OR($B$3="All",'Monthly Activity Log'!C108=$B$3)),(OR($E$3="All",'Monthly Activity Log'!B108=$E$3))),'Monthly Activity Log'!D108,"")</f>
        <v/>
      </c>
      <c r="E109" s="74">
        <f>IF(AND(('Monthly Activity Log'!C108&lt;&gt;""),(OR($B$3="All",'Monthly Activity Log'!C108=$B$3)),(OR($E$3="All",'Monthly Activity Log'!B108=$E$3))),'Monthly Activity Log'!E108,"")</f>
        <v/>
      </c>
      <c r="F109" s="74">
        <f>IF(AND(('Monthly Activity Log'!C108&lt;&gt;""),(OR($B$3="All",'Monthly Activity Log'!C108=$B$3)),(OR($E$3="All",'Monthly Activity Log'!B108=$E$3))),'Monthly Activity Log'!F108,"")</f>
        <v/>
      </c>
      <c r="G109" s="74">
        <f>IF(AND(('Monthly Activity Log'!C108&lt;&gt;""),(OR($B$3="All",'Monthly Activity Log'!C108=$B$3)),(OR($E$3="All",'Monthly Activity Log'!B108=$E$3))),'Monthly Activity Log'!G108,"")</f>
        <v/>
      </c>
      <c r="H109" s="74">
        <f>IF(AND(('Monthly Activity Log'!C108&lt;&gt;""),(OR($B$3="All",'Monthly Activity Log'!C108=$B$3)),(OR($E$3="All",'Monthly Activity Log'!B108=$E$3))),'Monthly Activity Log'!H108,"")</f>
        <v/>
      </c>
      <c r="I109" s="74">
        <f>IF(AND(('Monthly Activity Log'!C108&lt;&gt;""),(OR($B$3="All",'Monthly Activity Log'!C108=$B$3)),(OR($E$3="All",'Monthly Activity Log'!B108=$E$3))),'Monthly Activity Log'!I108,"")</f>
        <v/>
      </c>
      <c r="J109" s="74">
        <f>IF(AND(('Monthly Activity Log'!C108&lt;&gt;""),(OR($B$3="All",'Monthly Activity Log'!C108=$B$3)),(OR($E$3="All",'Monthly Activity Log'!B108=$E$3))),'Monthly Activity Log'!J108,"")</f>
        <v/>
      </c>
      <c r="K109" s="74">
        <f>IF(AND(('Monthly Activity Log'!C108&lt;&gt;""),(OR($B$3="All",'Monthly Activity Log'!C108=$B$3)),(OR($E$3="All",'Monthly Activity Log'!B108=$E$3))),'Monthly Activity Log'!K108,"")</f>
        <v/>
      </c>
    </row>
    <row r="110" ht="15.75" customHeight="1" s="65">
      <c r="A110" s="69">
        <f>IF(AND(('Monthly Activity Log'!C109&lt;&gt;""),(OR($B$3="All",'Monthly Activity Log'!C109=$B$3)),(OR($E$3="All",'Monthly Activity Log'!B109=$E$3))),ROW()-4,"")</f>
        <v/>
      </c>
      <c r="B110" s="70">
        <f>IF(AND(('Monthly Activity Log'!C109&lt;&gt;""),(OR($B$3="All",'Monthly Activity Log'!C109=$B$3)),(OR($E$3="All",'Monthly Activity Log'!B109=$E$3))),'Monthly Activity Log'!B109,"")</f>
        <v/>
      </c>
      <c r="C110" s="70">
        <f>IF(AND(('Monthly Activity Log'!C109&lt;&gt;""),(OR($B$3="All",'Monthly Activity Log'!C109=$B$3)),(OR($E$3="All",'Monthly Activity Log'!B109=$E$3))),'Monthly Activity Log'!C109,"")</f>
        <v/>
      </c>
      <c r="D110" s="70">
        <f>IF(AND(('Monthly Activity Log'!C109&lt;&gt;""),(OR($B$3="All",'Monthly Activity Log'!C109=$B$3)),(OR($E$3="All",'Monthly Activity Log'!B109=$E$3))),'Monthly Activity Log'!D109,"")</f>
        <v/>
      </c>
      <c r="E110" s="70">
        <f>IF(AND(('Monthly Activity Log'!C109&lt;&gt;""),(OR($B$3="All",'Monthly Activity Log'!C109=$B$3)),(OR($E$3="All",'Monthly Activity Log'!B109=$E$3))),'Monthly Activity Log'!E109,"")</f>
        <v/>
      </c>
      <c r="F110" s="70">
        <f>IF(AND(('Monthly Activity Log'!C109&lt;&gt;""),(OR($B$3="All",'Monthly Activity Log'!C109=$B$3)),(OR($E$3="All",'Monthly Activity Log'!B109=$E$3))),'Monthly Activity Log'!F109,"")</f>
        <v/>
      </c>
      <c r="G110" s="70">
        <f>IF(AND(('Monthly Activity Log'!C109&lt;&gt;""),(OR($B$3="All",'Monthly Activity Log'!C109=$B$3)),(OR($E$3="All",'Monthly Activity Log'!B109=$E$3))),'Monthly Activity Log'!G109,"")</f>
        <v/>
      </c>
      <c r="H110" s="70">
        <f>IF(AND(('Monthly Activity Log'!C109&lt;&gt;""),(OR($B$3="All",'Monthly Activity Log'!C109=$B$3)),(OR($E$3="All",'Monthly Activity Log'!B109=$E$3))),'Monthly Activity Log'!H109,"")</f>
        <v/>
      </c>
      <c r="I110" s="70">
        <f>IF(AND(('Monthly Activity Log'!C109&lt;&gt;""),(OR($B$3="All",'Monthly Activity Log'!C109=$B$3)),(OR($E$3="All",'Monthly Activity Log'!B109=$E$3))),'Monthly Activity Log'!I109,"")</f>
        <v/>
      </c>
      <c r="J110" s="70">
        <f>IF(AND(('Monthly Activity Log'!C109&lt;&gt;""),(OR($B$3="All",'Monthly Activity Log'!C109=$B$3)),(OR($E$3="All",'Monthly Activity Log'!B109=$E$3))),'Monthly Activity Log'!J109,"")</f>
        <v/>
      </c>
      <c r="K110" s="70">
        <f>IF(AND(('Monthly Activity Log'!C109&lt;&gt;""),(OR($B$3="All",'Monthly Activity Log'!C109=$B$3)),(OR($E$3="All",'Monthly Activity Log'!B109=$E$3))),'Monthly Activity Log'!K109,"")</f>
        <v/>
      </c>
    </row>
    <row r="111" ht="15.75" customHeight="1" s="65">
      <c r="A111" s="73">
        <f>IF(AND(('Monthly Activity Log'!C110&lt;&gt;""),(OR($B$3="All",'Monthly Activity Log'!C110=$B$3)),(OR($E$3="All",'Monthly Activity Log'!B110=$E$3))),ROW()-4,"")</f>
        <v/>
      </c>
      <c r="B111" s="74">
        <f>IF(AND(('Monthly Activity Log'!C110&lt;&gt;""),(OR($B$3="All",'Monthly Activity Log'!C110=$B$3)),(OR($E$3="All",'Monthly Activity Log'!B110=$E$3))),'Monthly Activity Log'!B110,"")</f>
        <v/>
      </c>
      <c r="C111" s="74">
        <f>IF(AND(('Monthly Activity Log'!C110&lt;&gt;""),(OR($B$3="All",'Monthly Activity Log'!C110=$B$3)),(OR($E$3="All",'Monthly Activity Log'!B110=$E$3))),'Monthly Activity Log'!C110,"")</f>
        <v/>
      </c>
      <c r="D111" s="74">
        <f>IF(AND(('Monthly Activity Log'!C110&lt;&gt;""),(OR($B$3="All",'Monthly Activity Log'!C110=$B$3)),(OR($E$3="All",'Monthly Activity Log'!B110=$E$3))),'Monthly Activity Log'!D110,"")</f>
        <v/>
      </c>
      <c r="E111" s="74">
        <f>IF(AND(('Monthly Activity Log'!C110&lt;&gt;""),(OR($B$3="All",'Monthly Activity Log'!C110=$B$3)),(OR($E$3="All",'Monthly Activity Log'!B110=$E$3))),'Monthly Activity Log'!E110,"")</f>
        <v/>
      </c>
      <c r="F111" s="74">
        <f>IF(AND(('Monthly Activity Log'!C110&lt;&gt;""),(OR($B$3="All",'Monthly Activity Log'!C110=$B$3)),(OR($E$3="All",'Monthly Activity Log'!B110=$E$3))),'Monthly Activity Log'!F110,"")</f>
        <v/>
      </c>
      <c r="G111" s="74">
        <f>IF(AND(('Monthly Activity Log'!C110&lt;&gt;""),(OR($B$3="All",'Monthly Activity Log'!C110=$B$3)),(OR($E$3="All",'Monthly Activity Log'!B110=$E$3))),'Monthly Activity Log'!G110,"")</f>
        <v/>
      </c>
      <c r="H111" s="74">
        <f>IF(AND(('Monthly Activity Log'!C110&lt;&gt;""),(OR($B$3="All",'Monthly Activity Log'!C110=$B$3)),(OR($E$3="All",'Monthly Activity Log'!B110=$E$3))),'Monthly Activity Log'!H110,"")</f>
        <v/>
      </c>
      <c r="I111" s="74">
        <f>IF(AND(('Monthly Activity Log'!C110&lt;&gt;""),(OR($B$3="All",'Monthly Activity Log'!C110=$B$3)),(OR($E$3="All",'Monthly Activity Log'!B110=$E$3))),'Monthly Activity Log'!I110,"")</f>
        <v/>
      </c>
      <c r="J111" s="74">
        <f>IF(AND(('Monthly Activity Log'!C110&lt;&gt;""),(OR($B$3="All",'Monthly Activity Log'!C110=$B$3)),(OR($E$3="All",'Monthly Activity Log'!B110=$E$3))),'Monthly Activity Log'!J110,"")</f>
        <v/>
      </c>
      <c r="K111" s="74">
        <f>IF(AND(('Monthly Activity Log'!C110&lt;&gt;""),(OR($B$3="All",'Monthly Activity Log'!C110=$B$3)),(OR($E$3="All",'Monthly Activity Log'!B110=$E$3))),'Monthly Activity Log'!K110,"")</f>
        <v/>
      </c>
    </row>
    <row r="112" ht="15.75" customHeight="1" s="65">
      <c r="A112" s="69">
        <f>IF(AND(('Monthly Activity Log'!C111&lt;&gt;""),(OR($B$3="All",'Monthly Activity Log'!C111=$B$3)),(OR($E$3="All",'Monthly Activity Log'!B111=$E$3))),ROW()-4,"")</f>
        <v/>
      </c>
      <c r="B112" s="70">
        <f>IF(AND(('Monthly Activity Log'!C111&lt;&gt;""),(OR($B$3="All",'Monthly Activity Log'!C111=$B$3)),(OR($E$3="All",'Monthly Activity Log'!B111=$E$3))),'Monthly Activity Log'!B111,"")</f>
        <v/>
      </c>
      <c r="C112" s="70">
        <f>IF(AND(('Monthly Activity Log'!C111&lt;&gt;""),(OR($B$3="All",'Monthly Activity Log'!C111=$B$3)),(OR($E$3="All",'Monthly Activity Log'!B111=$E$3))),'Monthly Activity Log'!C111,"")</f>
        <v/>
      </c>
      <c r="D112" s="70">
        <f>IF(AND(('Monthly Activity Log'!C111&lt;&gt;""),(OR($B$3="All",'Monthly Activity Log'!C111=$B$3)),(OR($E$3="All",'Monthly Activity Log'!B111=$E$3))),'Monthly Activity Log'!D111,"")</f>
        <v/>
      </c>
      <c r="E112" s="70">
        <f>IF(AND(('Monthly Activity Log'!C111&lt;&gt;""),(OR($B$3="All",'Monthly Activity Log'!C111=$B$3)),(OR($E$3="All",'Monthly Activity Log'!B111=$E$3))),'Monthly Activity Log'!E111,"")</f>
        <v/>
      </c>
      <c r="F112" s="70">
        <f>IF(AND(('Monthly Activity Log'!C111&lt;&gt;""),(OR($B$3="All",'Monthly Activity Log'!C111=$B$3)),(OR($E$3="All",'Monthly Activity Log'!B111=$E$3))),'Monthly Activity Log'!F111,"")</f>
        <v/>
      </c>
      <c r="G112" s="70">
        <f>IF(AND(('Monthly Activity Log'!C111&lt;&gt;""),(OR($B$3="All",'Monthly Activity Log'!C111=$B$3)),(OR($E$3="All",'Monthly Activity Log'!B111=$E$3))),'Monthly Activity Log'!G111,"")</f>
        <v/>
      </c>
      <c r="H112" s="70">
        <f>IF(AND(('Monthly Activity Log'!C111&lt;&gt;""),(OR($B$3="All",'Monthly Activity Log'!C111=$B$3)),(OR($E$3="All",'Monthly Activity Log'!B111=$E$3))),'Monthly Activity Log'!H111,"")</f>
        <v/>
      </c>
      <c r="I112" s="70">
        <f>IF(AND(('Monthly Activity Log'!C111&lt;&gt;""),(OR($B$3="All",'Monthly Activity Log'!C111=$B$3)),(OR($E$3="All",'Monthly Activity Log'!B111=$E$3))),'Monthly Activity Log'!I111,"")</f>
        <v/>
      </c>
      <c r="J112" s="70">
        <f>IF(AND(('Monthly Activity Log'!C111&lt;&gt;""),(OR($B$3="All",'Monthly Activity Log'!C111=$B$3)),(OR($E$3="All",'Monthly Activity Log'!B111=$E$3))),'Monthly Activity Log'!J111,"")</f>
        <v/>
      </c>
      <c r="K112" s="70">
        <f>IF(AND(('Monthly Activity Log'!C111&lt;&gt;""),(OR($B$3="All",'Monthly Activity Log'!C111=$B$3)),(OR($E$3="All",'Monthly Activity Log'!B111=$E$3))),'Monthly Activity Log'!K111,"")</f>
        <v/>
      </c>
    </row>
    <row r="113" ht="15.75" customHeight="1" s="65">
      <c r="A113" s="73">
        <f>IF(AND(('Monthly Activity Log'!C112&lt;&gt;""),(OR($B$3="All",'Monthly Activity Log'!C112=$B$3)),(OR($E$3="All",'Monthly Activity Log'!B112=$E$3))),ROW()-4,"")</f>
        <v/>
      </c>
      <c r="B113" s="74">
        <f>IF(AND(('Monthly Activity Log'!C112&lt;&gt;""),(OR($B$3="All",'Monthly Activity Log'!C112=$B$3)),(OR($E$3="All",'Monthly Activity Log'!B112=$E$3))),'Monthly Activity Log'!B112,"")</f>
        <v/>
      </c>
      <c r="C113" s="74">
        <f>IF(AND(('Monthly Activity Log'!C112&lt;&gt;""),(OR($B$3="All",'Monthly Activity Log'!C112=$B$3)),(OR($E$3="All",'Monthly Activity Log'!B112=$E$3))),'Monthly Activity Log'!C112,"")</f>
        <v/>
      </c>
      <c r="D113" s="74">
        <f>IF(AND(('Monthly Activity Log'!C112&lt;&gt;""),(OR($B$3="All",'Monthly Activity Log'!C112=$B$3)),(OR($E$3="All",'Monthly Activity Log'!B112=$E$3))),'Monthly Activity Log'!D112,"")</f>
        <v/>
      </c>
      <c r="E113" s="74">
        <f>IF(AND(('Monthly Activity Log'!C112&lt;&gt;""),(OR($B$3="All",'Monthly Activity Log'!C112=$B$3)),(OR($E$3="All",'Monthly Activity Log'!B112=$E$3))),'Monthly Activity Log'!E112,"")</f>
        <v/>
      </c>
      <c r="F113" s="74">
        <f>IF(AND(('Monthly Activity Log'!C112&lt;&gt;""),(OR($B$3="All",'Monthly Activity Log'!C112=$B$3)),(OR($E$3="All",'Monthly Activity Log'!B112=$E$3))),'Monthly Activity Log'!F112,"")</f>
        <v/>
      </c>
      <c r="G113" s="74">
        <f>IF(AND(('Monthly Activity Log'!C112&lt;&gt;""),(OR($B$3="All",'Monthly Activity Log'!C112=$B$3)),(OR($E$3="All",'Monthly Activity Log'!B112=$E$3))),'Monthly Activity Log'!G112,"")</f>
        <v/>
      </c>
      <c r="H113" s="74">
        <f>IF(AND(('Monthly Activity Log'!C112&lt;&gt;""),(OR($B$3="All",'Monthly Activity Log'!C112=$B$3)),(OR($E$3="All",'Monthly Activity Log'!B112=$E$3))),'Monthly Activity Log'!H112,"")</f>
        <v/>
      </c>
      <c r="I113" s="74">
        <f>IF(AND(('Monthly Activity Log'!C112&lt;&gt;""),(OR($B$3="All",'Monthly Activity Log'!C112=$B$3)),(OR($E$3="All",'Monthly Activity Log'!B112=$E$3))),'Monthly Activity Log'!I112,"")</f>
        <v/>
      </c>
      <c r="J113" s="74">
        <f>IF(AND(('Monthly Activity Log'!C112&lt;&gt;""),(OR($B$3="All",'Monthly Activity Log'!C112=$B$3)),(OR($E$3="All",'Monthly Activity Log'!B112=$E$3))),'Monthly Activity Log'!J112,"")</f>
        <v/>
      </c>
      <c r="K113" s="74">
        <f>IF(AND(('Monthly Activity Log'!C112&lt;&gt;""),(OR($B$3="All",'Monthly Activity Log'!C112=$B$3)),(OR($E$3="All",'Monthly Activity Log'!B112=$E$3))),'Monthly Activity Log'!K112,"")</f>
        <v/>
      </c>
    </row>
    <row r="114" ht="15.75" customHeight="1" s="65">
      <c r="A114" s="69">
        <f>IF(AND(('Monthly Activity Log'!C113&lt;&gt;""),(OR($B$3="All",'Monthly Activity Log'!C113=$B$3)),(OR($E$3="All",'Monthly Activity Log'!B113=$E$3))),ROW()-4,"")</f>
        <v/>
      </c>
      <c r="B114" s="70">
        <f>IF(AND(('Monthly Activity Log'!C113&lt;&gt;""),(OR($B$3="All",'Monthly Activity Log'!C113=$B$3)),(OR($E$3="All",'Monthly Activity Log'!B113=$E$3))),'Monthly Activity Log'!B113,"")</f>
        <v/>
      </c>
      <c r="C114" s="70">
        <f>IF(AND(('Monthly Activity Log'!C113&lt;&gt;""),(OR($B$3="All",'Monthly Activity Log'!C113=$B$3)),(OR($E$3="All",'Monthly Activity Log'!B113=$E$3))),'Monthly Activity Log'!C113,"")</f>
        <v/>
      </c>
      <c r="D114" s="70">
        <f>IF(AND(('Monthly Activity Log'!C113&lt;&gt;""),(OR($B$3="All",'Monthly Activity Log'!C113=$B$3)),(OR($E$3="All",'Monthly Activity Log'!B113=$E$3))),'Monthly Activity Log'!D113,"")</f>
        <v/>
      </c>
      <c r="E114" s="70">
        <f>IF(AND(('Monthly Activity Log'!C113&lt;&gt;""),(OR($B$3="All",'Monthly Activity Log'!C113=$B$3)),(OR($E$3="All",'Monthly Activity Log'!B113=$E$3))),'Monthly Activity Log'!E113,"")</f>
        <v/>
      </c>
      <c r="F114" s="70">
        <f>IF(AND(('Monthly Activity Log'!C113&lt;&gt;""),(OR($B$3="All",'Monthly Activity Log'!C113=$B$3)),(OR($E$3="All",'Monthly Activity Log'!B113=$E$3))),'Monthly Activity Log'!F113,"")</f>
        <v/>
      </c>
      <c r="G114" s="70">
        <f>IF(AND(('Monthly Activity Log'!C113&lt;&gt;""),(OR($B$3="All",'Monthly Activity Log'!C113=$B$3)),(OR($E$3="All",'Monthly Activity Log'!B113=$E$3))),'Monthly Activity Log'!G113,"")</f>
        <v/>
      </c>
      <c r="H114" s="70">
        <f>IF(AND(('Monthly Activity Log'!C113&lt;&gt;""),(OR($B$3="All",'Monthly Activity Log'!C113=$B$3)),(OR($E$3="All",'Monthly Activity Log'!B113=$E$3))),'Monthly Activity Log'!H113,"")</f>
        <v/>
      </c>
      <c r="I114" s="70">
        <f>IF(AND(('Monthly Activity Log'!C113&lt;&gt;""),(OR($B$3="All",'Monthly Activity Log'!C113=$B$3)),(OR($E$3="All",'Monthly Activity Log'!B113=$E$3))),'Monthly Activity Log'!I113,"")</f>
        <v/>
      </c>
      <c r="J114" s="70">
        <f>IF(AND(('Monthly Activity Log'!C113&lt;&gt;""),(OR($B$3="All",'Monthly Activity Log'!C113=$B$3)),(OR($E$3="All",'Monthly Activity Log'!B113=$E$3))),'Monthly Activity Log'!J113,"")</f>
        <v/>
      </c>
      <c r="K114" s="70">
        <f>IF(AND(('Monthly Activity Log'!C113&lt;&gt;""),(OR($B$3="All",'Monthly Activity Log'!C113=$B$3)),(OR($E$3="All",'Monthly Activity Log'!B113=$E$3))),'Monthly Activity Log'!K113,"")</f>
        <v/>
      </c>
    </row>
    <row r="115" ht="15.75" customHeight="1" s="65">
      <c r="A115" s="73">
        <f>IF(AND(('Monthly Activity Log'!C114&lt;&gt;""),(OR($B$3="All",'Monthly Activity Log'!C114=$B$3)),(OR($E$3="All",'Monthly Activity Log'!B114=$E$3))),ROW()-4,"")</f>
        <v/>
      </c>
      <c r="B115" s="74">
        <f>IF(AND(('Monthly Activity Log'!C114&lt;&gt;""),(OR($B$3="All",'Monthly Activity Log'!C114=$B$3)),(OR($E$3="All",'Monthly Activity Log'!B114=$E$3))),'Monthly Activity Log'!B114,"")</f>
        <v/>
      </c>
      <c r="C115" s="74">
        <f>IF(AND(('Monthly Activity Log'!C114&lt;&gt;""),(OR($B$3="All",'Monthly Activity Log'!C114=$B$3)),(OR($E$3="All",'Monthly Activity Log'!B114=$E$3))),'Monthly Activity Log'!C114,"")</f>
        <v/>
      </c>
      <c r="D115" s="74">
        <f>IF(AND(('Monthly Activity Log'!C114&lt;&gt;""),(OR($B$3="All",'Monthly Activity Log'!C114=$B$3)),(OR($E$3="All",'Monthly Activity Log'!B114=$E$3))),'Monthly Activity Log'!D114,"")</f>
        <v/>
      </c>
      <c r="E115" s="74">
        <f>IF(AND(('Monthly Activity Log'!C114&lt;&gt;""),(OR($B$3="All",'Monthly Activity Log'!C114=$B$3)),(OR($E$3="All",'Monthly Activity Log'!B114=$E$3))),'Monthly Activity Log'!E114,"")</f>
        <v/>
      </c>
      <c r="F115" s="74">
        <f>IF(AND(('Monthly Activity Log'!C114&lt;&gt;""),(OR($B$3="All",'Monthly Activity Log'!C114=$B$3)),(OR($E$3="All",'Monthly Activity Log'!B114=$E$3))),'Monthly Activity Log'!F114,"")</f>
        <v/>
      </c>
      <c r="G115" s="74">
        <f>IF(AND(('Monthly Activity Log'!C114&lt;&gt;""),(OR($B$3="All",'Monthly Activity Log'!C114=$B$3)),(OR($E$3="All",'Monthly Activity Log'!B114=$E$3))),'Monthly Activity Log'!G114,"")</f>
        <v/>
      </c>
      <c r="H115" s="74">
        <f>IF(AND(('Monthly Activity Log'!C114&lt;&gt;""),(OR($B$3="All",'Monthly Activity Log'!C114=$B$3)),(OR($E$3="All",'Monthly Activity Log'!B114=$E$3))),'Monthly Activity Log'!H114,"")</f>
        <v/>
      </c>
      <c r="I115" s="74">
        <f>IF(AND(('Monthly Activity Log'!C114&lt;&gt;""),(OR($B$3="All",'Monthly Activity Log'!C114=$B$3)),(OR($E$3="All",'Monthly Activity Log'!B114=$E$3))),'Monthly Activity Log'!I114,"")</f>
        <v/>
      </c>
      <c r="J115" s="74">
        <f>IF(AND(('Monthly Activity Log'!C114&lt;&gt;""),(OR($B$3="All",'Monthly Activity Log'!C114=$B$3)),(OR($E$3="All",'Monthly Activity Log'!B114=$E$3))),'Monthly Activity Log'!J114,"")</f>
        <v/>
      </c>
      <c r="K115" s="74">
        <f>IF(AND(('Monthly Activity Log'!C114&lt;&gt;""),(OR($B$3="All",'Monthly Activity Log'!C114=$B$3)),(OR($E$3="All",'Monthly Activity Log'!B114=$E$3))),'Monthly Activity Log'!K114,"")</f>
        <v/>
      </c>
    </row>
    <row r="116" ht="15.75" customHeight="1" s="65">
      <c r="A116" s="69">
        <f>IF(AND(('Monthly Activity Log'!C115&lt;&gt;""),(OR($B$3="All",'Monthly Activity Log'!C115=$B$3)),(OR($E$3="All",'Monthly Activity Log'!B115=$E$3))),ROW()-4,"")</f>
        <v/>
      </c>
      <c r="B116" s="70">
        <f>IF(AND(('Monthly Activity Log'!C115&lt;&gt;""),(OR($B$3="All",'Monthly Activity Log'!C115=$B$3)),(OR($E$3="All",'Monthly Activity Log'!B115=$E$3))),'Monthly Activity Log'!B115,"")</f>
        <v/>
      </c>
      <c r="C116" s="70">
        <f>IF(AND(('Monthly Activity Log'!C115&lt;&gt;""),(OR($B$3="All",'Monthly Activity Log'!C115=$B$3)),(OR($E$3="All",'Monthly Activity Log'!B115=$E$3))),'Monthly Activity Log'!C115,"")</f>
        <v/>
      </c>
      <c r="D116" s="70">
        <f>IF(AND(('Monthly Activity Log'!C115&lt;&gt;""),(OR($B$3="All",'Monthly Activity Log'!C115=$B$3)),(OR($E$3="All",'Monthly Activity Log'!B115=$E$3))),'Monthly Activity Log'!D115,"")</f>
        <v/>
      </c>
      <c r="E116" s="70">
        <f>IF(AND(('Monthly Activity Log'!C115&lt;&gt;""),(OR($B$3="All",'Monthly Activity Log'!C115=$B$3)),(OR($E$3="All",'Monthly Activity Log'!B115=$E$3))),'Monthly Activity Log'!E115,"")</f>
        <v/>
      </c>
      <c r="F116" s="70">
        <f>IF(AND(('Monthly Activity Log'!C115&lt;&gt;""),(OR($B$3="All",'Monthly Activity Log'!C115=$B$3)),(OR($E$3="All",'Monthly Activity Log'!B115=$E$3))),'Monthly Activity Log'!F115,"")</f>
        <v/>
      </c>
      <c r="G116" s="70">
        <f>IF(AND(('Monthly Activity Log'!C115&lt;&gt;""),(OR($B$3="All",'Monthly Activity Log'!C115=$B$3)),(OR($E$3="All",'Monthly Activity Log'!B115=$E$3))),'Monthly Activity Log'!G115,"")</f>
        <v/>
      </c>
      <c r="H116" s="70">
        <f>IF(AND(('Monthly Activity Log'!C115&lt;&gt;""),(OR($B$3="All",'Monthly Activity Log'!C115=$B$3)),(OR($E$3="All",'Monthly Activity Log'!B115=$E$3))),'Monthly Activity Log'!H115,"")</f>
        <v/>
      </c>
      <c r="I116" s="70">
        <f>IF(AND(('Monthly Activity Log'!C115&lt;&gt;""),(OR($B$3="All",'Monthly Activity Log'!C115=$B$3)),(OR($E$3="All",'Monthly Activity Log'!B115=$E$3))),'Monthly Activity Log'!I115,"")</f>
        <v/>
      </c>
      <c r="J116" s="70">
        <f>IF(AND(('Monthly Activity Log'!C115&lt;&gt;""),(OR($B$3="All",'Monthly Activity Log'!C115=$B$3)),(OR($E$3="All",'Monthly Activity Log'!B115=$E$3))),'Monthly Activity Log'!J115,"")</f>
        <v/>
      </c>
      <c r="K116" s="70">
        <f>IF(AND(('Monthly Activity Log'!C115&lt;&gt;""),(OR($B$3="All",'Monthly Activity Log'!C115=$B$3)),(OR($E$3="All",'Monthly Activity Log'!B115=$E$3))),'Monthly Activity Log'!K115,"")</f>
        <v/>
      </c>
    </row>
    <row r="117" ht="15.75" customHeight="1" s="65">
      <c r="A117" s="73">
        <f>IF(AND(('Monthly Activity Log'!C116&lt;&gt;""),(OR($B$3="All",'Monthly Activity Log'!C116=$B$3)),(OR($E$3="All",'Monthly Activity Log'!B116=$E$3))),ROW()-4,"")</f>
        <v/>
      </c>
      <c r="B117" s="74">
        <f>IF(AND(('Monthly Activity Log'!C116&lt;&gt;""),(OR($B$3="All",'Monthly Activity Log'!C116=$B$3)),(OR($E$3="All",'Monthly Activity Log'!B116=$E$3))),'Monthly Activity Log'!B116,"")</f>
        <v/>
      </c>
      <c r="C117" s="74">
        <f>IF(AND(('Monthly Activity Log'!C116&lt;&gt;""),(OR($B$3="All",'Monthly Activity Log'!C116=$B$3)),(OR($E$3="All",'Monthly Activity Log'!B116=$E$3))),'Monthly Activity Log'!C116,"")</f>
        <v/>
      </c>
      <c r="D117" s="74">
        <f>IF(AND(('Monthly Activity Log'!C116&lt;&gt;""),(OR($B$3="All",'Monthly Activity Log'!C116=$B$3)),(OR($E$3="All",'Monthly Activity Log'!B116=$E$3))),'Monthly Activity Log'!D116,"")</f>
        <v/>
      </c>
      <c r="E117" s="74">
        <f>IF(AND(('Monthly Activity Log'!C116&lt;&gt;""),(OR($B$3="All",'Monthly Activity Log'!C116=$B$3)),(OR($E$3="All",'Monthly Activity Log'!B116=$E$3))),'Monthly Activity Log'!E116,"")</f>
        <v/>
      </c>
      <c r="F117" s="74">
        <f>IF(AND(('Monthly Activity Log'!C116&lt;&gt;""),(OR($B$3="All",'Monthly Activity Log'!C116=$B$3)),(OR($E$3="All",'Monthly Activity Log'!B116=$E$3))),'Monthly Activity Log'!F116,"")</f>
        <v/>
      </c>
      <c r="G117" s="74">
        <f>IF(AND(('Monthly Activity Log'!C116&lt;&gt;""),(OR($B$3="All",'Monthly Activity Log'!C116=$B$3)),(OR($E$3="All",'Monthly Activity Log'!B116=$E$3))),'Monthly Activity Log'!G116,"")</f>
        <v/>
      </c>
      <c r="H117" s="74">
        <f>IF(AND(('Monthly Activity Log'!C116&lt;&gt;""),(OR($B$3="All",'Monthly Activity Log'!C116=$B$3)),(OR($E$3="All",'Monthly Activity Log'!B116=$E$3))),'Monthly Activity Log'!H116,"")</f>
        <v/>
      </c>
      <c r="I117" s="74">
        <f>IF(AND(('Monthly Activity Log'!C116&lt;&gt;""),(OR($B$3="All",'Monthly Activity Log'!C116=$B$3)),(OR($E$3="All",'Monthly Activity Log'!B116=$E$3))),'Monthly Activity Log'!I116,"")</f>
        <v/>
      </c>
      <c r="J117" s="74">
        <f>IF(AND(('Monthly Activity Log'!C116&lt;&gt;""),(OR($B$3="All",'Monthly Activity Log'!C116=$B$3)),(OR($E$3="All",'Monthly Activity Log'!B116=$E$3))),'Monthly Activity Log'!J116,"")</f>
        <v/>
      </c>
      <c r="K117" s="74">
        <f>IF(AND(('Monthly Activity Log'!C116&lt;&gt;""),(OR($B$3="All",'Monthly Activity Log'!C116=$B$3)),(OR($E$3="All",'Monthly Activity Log'!B116=$E$3))),'Monthly Activity Log'!K116,"")</f>
        <v/>
      </c>
    </row>
    <row r="118" ht="15.75" customHeight="1" s="65">
      <c r="A118" s="69">
        <f>IF(AND(('Monthly Activity Log'!C117&lt;&gt;""),(OR($B$3="All",'Monthly Activity Log'!C117=$B$3)),(OR($E$3="All",'Monthly Activity Log'!B117=$E$3))),ROW()-4,"")</f>
        <v/>
      </c>
      <c r="B118" s="70">
        <f>IF(AND(('Monthly Activity Log'!C117&lt;&gt;""),(OR($B$3="All",'Monthly Activity Log'!C117=$B$3)),(OR($E$3="All",'Monthly Activity Log'!B117=$E$3))),'Monthly Activity Log'!B117,"")</f>
        <v/>
      </c>
      <c r="C118" s="70">
        <f>IF(AND(('Monthly Activity Log'!C117&lt;&gt;""),(OR($B$3="All",'Monthly Activity Log'!C117=$B$3)),(OR($E$3="All",'Monthly Activity Log'!B117=$E$3))),'Monthly Activity Log'!C117,"")</f>
        <v/>
      </c>
      <c r="D118" s="70">
        <f>IF(AND(('Monthly Activity Log'!C117&lt;&gt;""),(OR($B$3="All",'Monthly Activity Log'!C117=$B$3)),(OR($E$3="All",'Monthly Activity Log'!B117=$E$3))),'Monthly Activity Log'!D117,"")</f>
        <v/>
      </c>
      <c r="E118" s="70">
        <f>IF(AND(('Monthly Activity Log'!C117&lt;&gt;""),(OR($B$3="All",'Monthly Activity Log'!C117=$B$3)),(OR($E$3="All",'Monthly Activity Log'!B117=$E$3))),'Monthly Activity Log'!E117,"")</f>
        <v/>
      </c>
      <c r="F118" s="70">
        <f>IF(AND(('Monthly Activity Log'!C117&lt;&gt;""),(OR($B$3="All",'Monthly Activity Log'!C117=$B$3)),(OR($E$3="All",'Monthly Activity Log'!B117=$E$3))),'Monthly Activity Log'!F117,"")</f>
        <v/>
      </c>
      <c r="G118" s="70">
        <f>IF(AND(('Monthly Activity Log'!C117&lt;&gt;""),(OR($B$3="All",'Monthly Activity Log'!C117=$B$3)),(OR($E$3="All",'Monthly Activity Log'!B117=$E$3))),'Monthly Activity Log'!G117,"")</f>
        <v/>
      </c>
      <c r="H118" s="70">
        <f>IF(AND(('Monthly Activity Log'!C117&lt;&gt;""),(OR($B$3="All",'Monthly Activity Log'!C117=$B$3)),(OR($E$3="All",'Monthly Activity Log'!B117=$E$3))),'Monthly Activity Log'!H117,"")</f>
        <v/>
      </c>
      <c r="I118" s="70">
        <f>IF(AND(('Monthly Activity Log'!C117&lt;&gt;""),(OR($B$3="All",'Monthly Activity Log'!C117=$B$3)),(OR($E$3="All",'Monthly Activity Log'!B117=$E$3))),'Monthly Activity Log'!I117,"")</f>
        <v/>
      </c>
      <c r="J118" s="70">
        <f>IF(AND(('Monthly Activity Log'!C117&lt;&gt;""),(OR($B$3="All",'Monthly Activity Log'!C117=$B$3)),(OR($E$3="All",'Monthly Activity Log'!B117=$E$3))),'Monthly Activity Log'!J117,"")</f>
        <v/>
      </c>
      <c r="K118" s="70">
        <f>IF(AND(('Monthly Activity Log'!C117&lt;&gt;""),(OR($B$3="All",'Monthly Activity Log'!C117=$B$3)),(OR($E$3="All",'Monthly Activity Log'!B117=$E$3))),'Monthly Activity Log'!K117,"")</f>
        <v/>
      </c>
    </row>
    <row r="119" ht="15.75" customHeight="1" s="65">
      <c r="A119" s="73">
        <f>IF(AND(('Monthly Activity Log'!C118&lt;&gt;""),(OR($B$3="All",'Monthly Activity Log'!C118=$B$3)),(OR($E$3="All",'Monthly Activity Log'!B118=$E$3))),ROW()-4,"")</f>
        <v/>
      </c>
      <c r="B119" s="74">
        <f>IF(AND(('Monthly Activity Log'!C118&lt;&gt;""),(OR($B$3="All",'Monthly Activity Log'!C118=$B$3)),(OR($E$3="All",'Monthly Activity Log'!B118=$E$3))),'Monthly Activity Log'!B118,"")</f>
        <v/>
      </c>
      <c r="C119" s="74">
        <f>IF(AND(('Monthly Activity Log'!C118&lt;&gt;""),(OR($B$3="All",'Monthly Activity Log'!C118=$B$3)),(OR($E$3="All",'Monthly Activity Log'!B118=$E$3))),'Monthly Activity Log'!C118,"")</f>
        <v/>
      </c>
      <c r="D119" s="74">
        <f>IF(AND(('Monthly Activity Log'!C118&lt;&gt;""),(OR($B$3="All",'Monthly Activity Log'!C118=$B$3)),(OR($E$3="All",'Monthly Activity Log'!B118=$E$3))),'Monthly Activity Log'!D118,"")</f>
        <v/>
      </c>
      <c r="E119" s="74">
        <f>IF(AND(('Monthly Activity Log'!C118&lt;&gt;""),(OR($B$3="All",'Monthly Activity Log'!C118=$B$3)),(OR($E$3="All",'Monthly Activity Log'!B118=$E$3))),'Monthly Activity Log'!E118,"")</f>
        <v/>
      </c>
      <c r="F119" s="74">
        <f>IF(AND(('Monthly Activity Log'!C118&lt;&gt;""),(OR($B$3="All",'Monthly Activity Log'!C118=$B$3)),(OR($E$3="All",'Monthly Activity Log'!B118=$E$3))),'Monthly Activity Log'!F118,"")</f>
        <v/>
      </c>
      <c r="G119" s="74">
        <f>IF(AND(('Monthly Activity Log'!C118&lt;&gt;""),(OR($B$3="All",'Monthly Activity Log'!C118=$B$3)),(OR($E$3="All",'Monthly Activity Log'!B118=$E$3))),'Monthly Activity Log'!G118,"")</f>
        <v/>
      </c>
      <c r="H119" s="74">
        <f>IF(AND(('Monthly Activity Log'!C118&lt;&gt;""),(OR($B$3="All",'Monthly Activity Log'!C118=$B$3)),(OR($E$3="All",'Monthly Activity Log'!B118=$E$3))),'Monthly Activity Log'!H118,"")</f>
        <v/>
      </c>
      <c r="I119" s="74">
        <f>IF(AND(('Monthly Activity Log'!C118&lt;&gt;""),(OR($B$3="All",'Monthly Activity Log'!C118=$B$3)),(OR($E$3="All",'Monthly Activity Log'!B118=$E$3))),'Monthly Activity Log'!I118,"")</f>
        <v/>
      </c>
      <c r="J119" s="74">
        <f>IF(AND(('Monthly Activity Log'!C118&lt;&gt;""),(OR($B$3="All",'Monthly Activity Log'!C118=$B$3)),(OR($E$3="All",'Monthly Activity Log'!B118=$E$3))),'Monthly Activity Log'!J118,"")</f>
        <v/>
      </c>
      <c r="K119" s="74">
        <f>IF(AND(('Monthly Activity Log'!C118&lt;&gt;""),(OR($B$3="All",'Monthly Activity Log'!C118=$B$3)),(OR($E$3="All",'Monthly Activity Log'!B118=$E$3))),'Monthly Activity Log'!K118,"")</f>
        <v/>
      </c>
    </row>
    <row r="120" ht="15.75" customHeight="1" s="65">
      <c r="A120" s="69">
        <f>IF(AND(('Monthly Activity Log'!C119&lt;&gt;""),(OR($B$3="All",'Monthly Activity Log'!C119=$B$3)),(OR($E$3="All",'Monthly Activity Log'!B119=$E$3))),ROW()-4,"")</f>
        <v/>
      </c>
      <c r="B120" s="70">
        <f>IF(AND(('Monthly Activity Log'!C119&lt;&gt;""),(OR($B$3="All",'Monthly Activity Log'!C119=$B$3)),(OR($E$3="All",'Monthly Activity Log'!B119=$E$3))),'Monthly Activity Log'!B119,"")</f>
        <v/>
      </c>
      <c r="C120" s="70">
        <f>IF(AND(('Monthly Activity Log'!C119&lt;&gt;""),(OR($B$3="All",'Monthly Activity Log'!C119=$B$3)),(OR($E$3="All",'Monthly Activity Log'!B119=$E$3))),'Monthly Activity Log'!C119,"")</f>
        <v/>
      </c>
      <c r="D120" s="70">
        <f>IF(AND(('Monthly Activity Log'!C119&lt;&gt;""),(OR($B$3="All",'Monthly Activity Log'!C119=$B$3)),(OR($E$3="All",'Monthly Activity Log'!B119=$E$3))),'Monthly Activity Log'!D119,"")</f>
        <v/>
      </c>
      <c r="E120" s="70">
        <f>IF(AND(('Monthly Activity Log'!C119&lt;&gt;""),(OR($B$3="All",'Monthly Activity Log'!C119=$B$3)),(OR($E$3="All",'Monthly Activity Log'!B119=$E$3))),'Monthly Activity Log'!E119,"")</f>
        <v/>
      </c>
      <c r="F120" s="70">
        <f>IF(AND(('Monthly Activity Log'!C119&lt;&gt;""),(OR($B$3="All",'Monthly Activity Log'!C119=$B$3)),(OR($E$3="All",'Monthly Activity Log'!B119=$E$3))),'Monthly Activity Log'!F119,"")</f>
        <v/>
      </c>
      <c r="G120" s="70">
        <f>IF(AND(('Monthly Activity Log'!C119&lt;&gt;""),(OR($B$3="All",'Monthly Activity Log'!C119=$B$3)),(OR($E$3="All",'Monthly Activity Log'!B119=$E$3))),'Monthly Activity Log'!G119,"")</f>
        <v/>
      </c>
      <c r="H120" s="70">
        <f>IF(AND(('Monthly Activity Log'!C119&lt;&gt;""),(OR($B$3="All",'Monthly Activity Log'!C119=$B$3)),(OR($E$3="All",'Monthly Activity Log'!B119=$E$3))),'Monthly Activity Log'!H119,"")</f>
        <v/>
      </c>
      <c r="I120" s="70">
        <f>IF(AND(('Monthly Activity Log'!C119&lt;&gt;""),(OR($B$3="All",'Monthly Activity Log'!C119=$B$3)),(OR($E$3="All",'Monthly Activity Log'!B119=$E$3))),'Monthly Activity Log'!I119,"")</f>
        <v/>
      </c>
      <c r="J120" s="70">
        <f>IF(AND(('Monthly Activity Log'!C119&lt;&gt;""),(OR($B$3="All",'Monthly Activity Log'!C119=$B$3)),(OR($E$3="All",'Monthly Activity Log'!B119=$E$3))),'Monthly Activity Log'!J119,"")</f>
        <v/>
      </c>
      <c r="K120" s="70">
        <f>IF(AND(('Monthly Activity Log'!C119&lt;&gt;""),(OR($B$3="All",'Monthly Activity Log'!C119=$B$3)),(OR($E$3="All",'Monthly Activity Log'!B119=$E$3))),'Monthly Activity Log'!K119,"")</f>
        <v/>
      </c>
    </row>
    <row r="121" ht="15.75" customHeight="1" s="65">
      <c r="A121" s="73">
        <f>IF(AND(('Monthly Activity Log'!C120&lt;&gt;""),(OR($B$3="All",'Monthly Activity Log'!C120=$B$3)),(OR($E$3="All",'Monthly Activity Log'!B120=$E$3))),ROW()-4,"")</f>
        <v/>
      </c>
      <c r="B121" s="74">
        <f>IF(AND(('Monthly Activity Log'!C120&lt;&gt;""),(OR($B$3="All",'Monthly Activity Log'!C120=$B$3)),(OR($E$3="All",'Monthly Activity Log'!B120=$E$3))),'Monthly Activity Log'!B120,"")</f>
        <v/>
      </c>
      <c r="C121" s="74">
        <f>IF(AND(('Monthly Activity Log'!C120&lt;&gt;""),(OR($B$3="All",'Monthly Activity Log'!C120=$B$3)),(OR($E$3="All",'Monthly Activity Log'!B120=$E$3))),'Monthly Activity Log'!C120,"")</f>
        <v/>
      </c>
      <c r="D121" s="74">
        <f>IF(AND(('Monthly Activity Log'!C120&lt;&gt;""),(OR($B$3="All",'Monthly Activity Log'!C120=$B$3)),(OR($E$3="All",'Monthly Activity Log'!B120=$E$3))),'Monthly Activity Log'!D120,"")</f>
        <v/>
      </c>
      <c r="E121" s="74">
        <f>IF(AND(('Monthly Activity Log'!C120&lt;&gt;""),(OR($B$3="All",'Monthly Activity Log'!C120=$B$3)),(OR($E$3="All",'Monthly Activity Log'!B120=$E$3))),'Monthly Activity Log'!E120,"")</f>
        <v/>
      </c>
      <c r="F121" s="74">
        <f>IF(AND(('Monthly Activity Log'!C120&lt;&gt;""),(OR($B$3="All",'Monthly Activity Log'!C120=$B$3)),(OR($E$3="All",'Monthly Activity Log'!B120=$E$3))),'Monthly Activity Log'!F120,"")</f>
        <v/>
      </c>
      <c r="G121" s="74">
        <f>IF(AND(('Monthly Activity Log'!C120&lt;&gt;""),(OR($B$3="All",'Monthly Activity Log'!C120=$B$3)),(OR($E$3="All",'Monthly Activity Log'!B120=$E$3))),'Monthly Activity Log'!G120,"")</f>
        <v/>
      </c>
      <c r="H121" s="74">
        <f>IF(AND(('Monthly Activity Log'!C120&lt;&gt;""),(OR($B$3="All",'Monthly Activity Log'!C120=$B$3)),(OR($E$3="All",'Monthly Activity Log'!B120=$E$3))),'Monthly Activity Log'!H120,"")</f>
        <v/>
      </c>
      <c r="I121" s="74">
        <f>IF(AND(('Monthly Activity Log'!C120&lt;&gt;""),(OR($B$3="All",'Monthly Activity Log'!C120=$B$3)),(OR($E$3="All",'Monthly Activity Log'!B120=$E$3))),'Monthly Activity Log'!I120,"")</f>
        <v/>
      </c>
      <c r="J121" s="74">
        <f>IF(AND(('Monthly Activity Log'!C120&lt;&gt;""),(OR($B$3="All",'Monthly Activity Log'!C120=$B$3)),(OR($E$3="All",'Monthly Activity Log'!B120=$E$3))),'Monthly Activity Log'!J120,"")</f>
        <v/>
      </c>
      <c r="K121" s="74">
        <f>IF(AND(('Monthly Activity Log'!C120&lt;&gt;""),(OR($B$3="All",'Monthly Activity Log'!C120=$B$3)),(OR($E$3="All",'Monthly Activity Log'!B120=$E$3))),'Monthly Activity Log'!K120,"")</f>
        <v/>
      </c>
    </row>
    <row r="122" ht="15.75" customHeight="1" s="65">
      <c r="A122" s="69">
        <f>IF(AND(('Monthly Activity Log'!C121&lt;&gt;""),(OR($B$3="All",'Monthly Activity Log'!C121=$B$3)),(OR($E$3="All",'Monthly Activity Log'!B121=$E$3))),ROW()-4,"")</f>
        <v/>
      </c>
      <c r="B122" s="70">
        <f>IF(AND(('Monthly Activity Log'!C121&lt;&gt;""),(OR($B$3="All",'Monthly Activity Log'!C121=$B$3)),(OR($E$3="All",'Monthly Activity Log'!B121=$E$3))),'Monthly Activity Log'!B121,"")</f>
        <v/>
      </c>
      <c r="C122" s="70">
        <f>IF(AND(('Monthly Activity Log'!C121&lt;&gt;""),(OR($B$3="All",'Monthly Activity Log'!C121=$B$3)),(OR($E$3="All",'Monthly Activity Log'!B121=$E$3))),'Monthly Activity Log'!C121,"")</f>
        <v/>
      </c>
      <c r="D122" s="70">
        <f>IF(AND(('Monthly Activity Log'!C121&lt;&gt;""),(OR($B$3="All",'Monthly Activity Log'!C121=$B$3)),(OR($E$3="All",'Monthly Activity Log'!B121=$E$3))),'Monthly Activity Log'!D121,"")</f>
        <v/>
      </c>
      <c r="E122" s="70">
        <f>IF(AND(('Monthly Activity Log'!C121&lt;&gt;""),(OR($B$3="All",'Monthly Activity Log'!C121=$B$3)),(OR($E$3="All",'Monthly Activity Log'!B121=$E$3))),'Monthly Activity Log'!E121,"")</f>
        <v/>
      </c>
      <c r="F122" s="70">
        <f>IF(AND(('Monthly Activity Log'!C121&lt;&gt;""),(OR($B$3="All",'Monthly Activity Log'!C121=$B$3)),(OR($E$3="All",'Monthly Activity Log'!B121=$E$3))),'Monthly Activity Log'!F121,"")</f>
        <v/>
      </c>
      <c r="G122" s="70">
        <f>IF(AND(('Monthly Activity Log'!C121&lt;&gt;""),(OR($B$3="All",'Monthly Activity Log'!C121=$B$3)),(OR($E$3="All",'Monthly Activity Log'!B121=$E$3))),'Monthly Activity Log'!G121,"")</f>
        <v/>
      </c>
      <c r="H122" s="70">
        <f>IF(AND(('Monthly Activity Log'!C121&lt;&gt;""),(OR($B$3="All",'Monthly Activity Log'!C121=$B$3)),(OR($E$3="All",'Monthly Activity Log'!B121=$E$3))),'Monthly Activity Log'!H121,"")</f>
        <v/>
      </c>
      <c r="I122" s="70">
        <f>IF(AND(('Monthly Activity Log'!C121&lt;&gt;""),(OR($B$3="All",'Monthly Activity Log'!C121=$B$3)),(OR($E$3="All",'Monthly Activity Log'!B121=$E$3))),'Monthly Activity Log'!I121,"")</f>
        <v/>
      </c>
      <c r="J122" s="70">
        <f>IF(AND(('Monthly Activity Log'!C121&lt;&gt;""),(OR($B$3="All",'Monthly Activity Log'!C121=$B$3)),(OR($E$3="All",'Monthly Activity Log'!B121=$E$3))),'Monthly Activity Log'!J121,"")</f>
        <v/>
      </c>
      <c r="K122" s="70">
        <f>IF(AND(('Monthly Activity Log'!C121&lt;&gt;""),(OR($B$3="All",'Monthly Activity Log'!C121=$B$3)),(OR($E$3="All",'Monthly Activity Log'!B121=$E$3))),'Monthly Activity Log'!K121,"")</f>
        <v/>
      </c>
    </row>
    <row r="123" ht="15.75" customHeight="1" s="65">
      <c r="A123" s="73">
        <f>IF(AND(('Monthly Activity Log'!C122&lt;&gt;""),(OR($B$3="All",'Monthly Activity Log'!C122=$B$3)),(OR($E$3="All",'Monthly Activity Log'!B122=$E$3))),ROW()-4,"")</f>
        <v/>
      </c>
      <c r="B123" s="74">
        <f>IF(AND(('Monthly Activity Log'!C122&lt;&gt;""),(OR($B$3="All",'Monthly Activity Log'!C122=$B$3)),(OR($E$3="All",'Monthly Activity Log'!B122=$E$3))),'Monthly Activity Log'!B122,"")</f>
        <v/>
      </c>
      <c r="C123" s="74">
        <f>IF(AND(('Monthly Activity Log'!C122&lt;&gt;""),(OR($B$3="All",'Monthly Activity Log'!C122=$B$3)),(OR($E$3="All",'Monthly Activity Log'!B122=$E$3))),'Monthly Activity Log'!C122,"")</f>
        <v/>
      </c>
      <c r="D123" s="74">
        <f>IF(AND(('Monthly Activity Log'!C122&lt;&gt;""),(OR($B$3="All",'Monthly Activity Log'!C122=$B$3)),(OR($E$3="All",'Monthly Activity Log'!B122=$E$3))),'Monthly Activity Log'!D122,"")</f>
        <v/>
      </c>
      <c r="E123" s="74">
        <f>IF(AND(('Monthly Activity Log'!C122&lt;&gt;""),(OR($B$3="All",'Monthly Activity Log'!C122=$B$3)),(OR($E$3="All",'Monthly Activity Log'!B122=$E$3))),'Monthly Activity Log'!E122,"")</f>
        <v/>
      </c>
      <c r="F123" s="74">
        <f>IF(AND(('Monthly Activity Log'!C122&lt;&gt;""),(OR($B$3="All",'Monthly Activity Log'!C122=$B$3)),(OR($E$3="All",'Monthly Activity Log'!B122=$E$3))),'Monthly Activity Log'!F122,"")</f>
        <v/>
      </c>
      <c r="G123" s="74">
        <f>IF(AND(('Monthly Activity Log'!C122&lt;&gt;""),(OR($B$3="All",'Monthly Activity Log'!C122=$B$3)),(OR($E$3="All",'Monthly Activity Log'!B122=$E$3))),'Monthly Activity Log'!G122,"")</f>
        <v/>
      </c>
      <c r="H123" s="74">
        <f>IF(AND(('Monthly Activity Log'!C122&lt;&gt;""),(OR($B$3="All",'Monthly Activity Log'!C122=$B$3)),(OR($E$3="All",'Monthly Activity Log'!B122=$E$3))),'Monthly Activity Log'!H122,"")</f>
        <v/>
      </c>
      <c r="I123" s="74">
        <f>IF(AND(('Monthly Activity Log'!C122&lt;&gt;""),(OR($B$3="All",'Monthly Activity Log'!C122=$B$3)),(OR($E$3="All",'Monthly Activity Log'!B122=$E$3))),'Monthly Activity Log'!I122,"")</f>
        <v/>
      </c>
      <c r="J123" s="74">
        <f>IF(AND(('Monthly Activity Log'!C122&lt;&gt;""),(OR($B$3="All",'Monthly Activity Log'!C122=$B$3)),(OR($E$3="All",'Monthly Activity Log'!B122=$E$3))),'Monthly Activity Log'!J122,"")</f>
        <v/>
      </c>
      <c r="K123" s="74">
        <f>IF(AND(('Monthly Activity Log'!C122&lt;&gt;""),(OR($B$3="All",'Monthly Activity Log'!C122=$B$3)),(OR($E$3="All",'Monthly Activity Log'!B122=$E$3))),'Monthly Activity Log'!K122,"")</f>
        <v/>
      </c>
    </row>
    <row r="124" ht="15.75" customHeight="1" s="65">
      <c r="A124" s="69">
        <f>IF(AND(('Monthly Activity Log'!C123&lt;&gt;""),(OR($B$3="All",'Monthly Activity Log'!C123=$B$3)),(OR($E$3="All",'Monthly Activity Log'!B123=$E$3))),ROW()-4,"")</f>
        <v/>
      </c>
      <c r="B124" s="70">
        <f>IF(AND(('Monthly Activity Log'!C123&lt;&gt;""),(OR($B$3="All",'Monthly Activity Log'!C123=$B$3)),(OR($E$3="All",'Monthly Activity Log'!B123=$E$3))),'Monthly Activity Log'!B123,"")</f>
        <v/>
      </c>
      <c r="C124" s="70">
        <f>IF(AND(('Monthly Activity Log'!C123&lt;&gt;""),(OR($B$3="All",'Monthly Activity Log'!C123=$B$3)),(OR($E$3="All",'Monthly Activity Log'!B123=$E$3))),'Monthly Activity Log'!C123,"")</f>
        <v/>
      </c>
      <c r="D124" s="70">
        <f>IF(AND(('Monthly Activity Log'!C123&lt;&gt;""),(OR($B$3="All",'Monthly Activity Log'!C123=$B$3)),(OR($E$3="All",'Monthly Activity Log'!B123=$E$3))),'Monthly Activity Log'!D123,"")</f>
        <v/>
      </c>
      <c r="E124" s="70">
        <f>IF(AND(('Monthly Activity Log'!C123&lt;&gt;""),(OR($B$3="All",'Monthly Activity Log'!C123=$B$3)),(OR($E$3="All",'Monthly Activity Log'!B123=$E$3))),'Monthly Activity Log'!E123,"")</f>
        <v/>
      </c>
      <c r="F124" s="70">
        <f>IF(AND(('Monthly Activity Log'!C123&lt;&gt;""),(OR($B$3="All",'Monthly Activity Log'!C123=$B$3)),(OR($E$3="All",'Monthly Activity Log'!B123=$E$3))),'Monthly Activity Log'!F123,"")</f>
        <v/>
      </c>
      <c r="G124" s="70">
        <f>IF(AND(('Monthly Activity Log'!C123&lt;&gt;""),(OR($B$3="All",'Monthly Activity Log'!C123=$B$3)),(OR($E$3="All",'Monthly Activity Log'!B123=$E$3))),'Monthly Activity Log'!G123,"")</f>
        <v/>
      </c>
      <c r="H124" s="70">
        <f>IF(AND(('Monthly Activity Log'!C123&lt;&gt;""),(OR($B$3="All",'Monthly Activity Log'!C123=$B$3)),(OR($E$3="All",'Monthly Activity Log'!B123=$E$3))),'Monthly Activity Log'!H123,"")</f>
        <v/>
      </c>
      <c r="I124" s="70">
        <f>IF(AND(('Monthly Activity Log'!C123&lt;&gt;""),(OR($B$3="All",'Monthly Activity Log'!C123=$B$3)),(OR($E$3="All",'Monthly Activity Log'!B123=$E$3))),'Monthly Activity Log'!I123,"")</f>
        <v/>
      </c>
      <c r="J124" s="70">
        <f>IF(AND(('Monthly Activity Log'!C123&lt;&gt;""),(OR($B$3="All",'Monthly Activity Log'!C123=$B$3)),(OR($E$3="All",'Monthly Activity Log'!B123=$E$3))),'Monthly Activity Log'!J123,"")</f>
        <v/>
      </c>
      <c r="K124" s="70">
        <f>IF(AND(('Monthly Activity Log'!C123&lt;&gt;""),(OR($B$3="All",'Monthly Activity Log'!C123=$B$3)),(OR($E$3="All",'Monthly Activity Log'!B123=$E$3))),'Monthly Activity Log'!K123,"")</f>
        <v/>
      </c>
    </row>
    <row r="125" ht="15.75" customHeight="1" s="65">
      <c r="A125" s="73">
        <f>IF(AND(('Monthly Activity Log'!C124&lt;&gt;""),(OR($B$3="All",'Monthly Activity Log'!C124=$B$3)),(OR($E$3="All",'Monthly Activity Log'!B124=$E$3))),ROW()-4,"")</f>
        <v/>
      </c>
      <c r="B125" s="74">
        <f>IF(AND(('Monthly Activity Log'!C124&lt;&gt;""),(OR($B$3="All",'Monthly Activity Log'!C124=$B$3)),(OR($E$3="All",'Monthly Activity Log'!B124=$E$3))),'Monthly Activity Log'!B124,"")</f>
        <v/>
      </c>
      <c r="C125" s="74">
        <f>IF(AND(('Monthly Activity Log'!C124&lt;&gt;""),(OR($B$3="All",'Monthly Activity Log'!C124=$B$3)),(OR($E$3="All",'Monthly Activity Log'!B124=$E$3))),'Monthly Activity Log'!C124,"")</f>
        <v/>
      </c>
      <c r="D125" s="74">
        <f>IF(AND(('Monthly Activity Log'!C124&lt;&gt;""),(OR($B$3="All",'Monthly Activity Log'!C124=$B$3)),(OR($E$3="All",'Monthly Activity Log'!B124=$E$3))),'Monthly Activity Log'!D124,"")</f>
        <v/>
      </c>
      <c r="E125" s="74">
        <f>IF(AND(('Monthly Activity Log'!C124&lt;&gt;""),(OR($B$3="All",'Monthly Activity Log'!C124=$B$3)),(OR($E$3="All",'Monthly Activity Log'!B124=$E$3))),'Monthly Activity Log'!E124,"")</f>
        <v/>
      </c>
      <c r="F125" s="74">
        <f>IF(AND(('Monthly Activity Log'!C124&lt;&gt;""),(OR($B$3="All",'Monthly Activity Log'!C124=$B$3)),(OR($E$3="All",'Monthly Activity Log'!B124=$E$3))),'Monthly Activity Log'!F124,"")</f>
        <v/>
      </c>
      <c r="G125" s="74">
        <f>IF(AND(('Monthly Activity Log'!C124&lt;&gt;""),(OR($B$3="All",'Monthly Activity Log'!C124=$B$3)),(OR($E$3="All",'Monthly Activity Log'!B124=$E$3))),'Monthly Activity Log'!G124,"")</f>
        <v/>
      </c>
      <c r="H125" s="74">
        <f>IF(AND(('Monthly Activity Log'!C124&lt;&gt;""),(OR($B$3="All",'Monthly Activity Log'!C124=$B$3)),(OR($E$3="All",'Monthly Activity Log'!B124=$E$3))),'Monthly Activity Log'!H124,"")</f>
        <v/>
      </c>
      <c r="I125" s="74">
        <f>IF(AND(('Monthly Activity Log'!C124&lt;&gt;""),(OR($B$3="All",'Monthly Activity Log'!C124=$B$3)),(OR($E$3="All",'Monthly Activity Log'!B124=$E$3))),'Monthly Activity Log'!I124,"")</f>
        <v/>
      </c>
      <c r="J125" s="74">
        <f>IF(AND(('Monthly Activity Log'!C124&lt;&gt;""),(OR($B$3="All",'Monthly Activity Log'!C124=$B$3)),(OR($E$3="All",'Monthly Activity Log'!B124=$E$3))),'Monthly Activity Log'!J124,"")</f>
        <v/>
      </c>
      <c r="K125" s="74">
        <f>IF(AND(('Monthly Activity Log'!C124&lt;&gt;""),(OR($B$3="All",'Monthly Activity Log'!C124=$B$3)),(OR($E$3="All",'Monthly Activity Log'!B124=$E$3))),'Monthly Activity Log'!K124,"")</f>
        <v/>
      </c>
    </row>
    <row r="126" ht="15.75" customHeight="1" s="65">
      <c r="A126" s="69">
        <f>IF(AND(('Monthly Activity Log'!C125&lt;&gt;""),(OR($B$3="All",'Monthly Activity Log'!C125=$B$3)),(OR($E$3="All",'Monthly Activity Log'!B125=$E$3))),ROW()-4,"")</f>
        <v/>
      </c>
      <c r="B126" s="70">
        <f>IF(AND(('Monthly Activity Log'!C125&lt;&gt;""),(OR($B$3="All",'Monthly Activity Log'!C125=$B$3)),(OR($E$3="All",'Monthly Activity Log'!B125=$E$3))),'Monthly Activity Log'!B125,"")</f>
        <v/>
      </c>
      <c r="C126" s="70">
        <f>IF(AND(('Monthly Activity Log'!C125&lt;&gt;""),(OR($B$3="All",'Monthly Activity Log'!C125=$B$3)),(OR($E$3="All",'Monthly Activity Log'!B125=$E$3))),'Monthly Activity Log'!C125,"")</f>
        <v/>
      </c>
      <c r="D126" s="70">
        <f>IF(AND(('Monthly Activity Log'!C125&lt;&gt;""),(OR($B$3="All",'Monthly Activity Log'!C125=$B$3)),(OR($E$3="All",'Monthly Activity Log'!B125=$E$3))),'Monthly Activity Log'!D125,"")</f>
        <v/>
      </c>
      <c r="E126" s="70">
        <f>IF(AND(('Monthly Activity Log'!C125&lt;&gt;""),(OR($B$3="All",'Monthly Activity Log'!C125=$B$3)),(OR($E$3="All",'Monthly Activity Log'!B125=$E$3))),'Monthly Activity Log'!E125,"")</f>
        <v/>
      </c>
      <c r="F126" s="70">
        <f>IF(AND(('Monthly Activity Log'!C125&lt;&gt;""),(OR($B$3="All",'Monthly Activity Log'!C125=$B$3)),(OR($E$3="All",'Monthly Activity Log'!B125=$E$3))),'Monthly Activity Log'!F125,"")</f>
        <v/>
      </c>
      <c r="G126" s="70">
        <f>IF(AND(('Monthly Activity Log'!C125&lt;&gt;""),(OR($B$3="All",'Monthly Activity Log'!C125=$B$3)),(OR($E$3="All",'Monthly Activity Log'!B125=$E$3))),'Monthly Activity Log'!G125,"")</f>
        <v/>
      </c>
      <c r="H126" s="70">
        <f>IF(AND(('Monthly Activity Log'!C125&lt;&gt;""),(OR($B$3="All",'Monthly Activity Log'!C125=$B$3)),(OR($E$3="All",'Monthly Activity Log'!B125=$E$3))),'Monthly Activity Log'!H125,"")</f>
        <v/>
      </c>
      <c r="I126" s="70">
        <f>IF(AND(('Monthly Activity Log'!C125&lt;&gt;""),(OR($B$3="All",'Monthly Activity Log'!C125=$B$3)),(OR($E$3="All",'Monthly Activity Log'!B125=$E$3))),'Monthly Activity Log'!I125,"")</f>
        <v/>
      </c>
      <c r="J126" s="70">
        <f>IF(AND(('Monthly Activity Log'!C125&lt;&gt;""),(OR($B$3="All",'Monthly Activity Log'!C125=$B$3)),(OR($E$3="All",'Monthly Activity Log'!B125=$E$3))),'Monthly Activity Log'!J125,"")</f>
        <v/>
      </c>
      <c r="K126" s="70">
        <f>IF(AND(('Monthly Activity Log'!C125&lt;&gt;""),(OR($B$3="All",'Monthly Activity Log'!C125=$B$3)),(OR($E$3="All",'Monthly Activity Log'!B125=$E$3))),'Monthly Activity Log'!K125,"")</f>
        <v/>
      </c>
    </row>
    <row r="127" ht="15.75" customHeight="1" s="65">
      <c r="A127" s="73">
        <f>IF(AND(('Monthly Activity Log'!C126&lt;&gt;""),(OR($B$3="All",'Monthly Activity Log'!C126=$B$3)),(OR($E$3="All",'Monthly Activity Log'!B126=$E$3))),ROW()-4,"")</f>
        <v/>
      </c>
      <c r="B127" s="74">
        <f>IF(AND(('Monthly Activity Log'!C126&lt;&gt;""),(OR($B$3="All",'Monthly Activity Log'!C126=$B$3)),(OR($E$3="All",'Monthly Activity Log'!B126=$E$3))),'Monthly Activity Log'!B126,"")</f>
        <v/>
      </c>
      <c r="C127" s="74">
        <f>IF(AND(('Monthly Activity Log'!C126&lt;&gt;""),(OR($B$3="All",'Monthly Activity Log'!C126=$B$3)),(OR($E$3="All",'Monthly Activity Log'!B126=$E$3))),'Monthly Activity Log'!C126,"")</f>
        <v/>
      </c>
      <c r="D127" s="74">
        <f>IF(AND(('Monthly Activity Log'!C126&lt;&gt;""),(OR($B$3="All",'Monthly Activity Log'!C126=$B$3)),(OR($E$3="All",'Monthly Activity Log'!B126=$E$3))),'Monthly Activity Log'!D126,"")</f>
        <v/>
      </c>
      <c r="E127" s="74">
        <f>IF(AND(('Monthly Activity Log'!C126&lt;&gt;""),(OR($B$3="All",'Monthly Activity Log'!C126=$B$3)),(OR($E$3="All",'Monthly Activity Log'!B126=$E$3))),'Monthly Activity Log'!E126,"")</f>
        <v/>
      </c>
      <c r="F127" s="74">
        <f>IF(AND(('Monthly Activity Log'!C126&lt;&gt;""),(OR($B$3="All",'Monthly Activity Log'!C126=$B$3)),(OR($E$3="All",'Monthly Activity Log'!B126=$E$3))),'Monthly Activity Log'!F126,"")</f>
        <v/>
      </c>
      <c r="G127" s="74">
        <f>IF(AND(('Monthly Activity Log'!C126&lt;&gt;""),(OR($B$3="All",'Monthly Activity Log'!C126=$B$3)),(OR($E$3="All",'Monthly Activity Log'!B126=$E$3))),'Monthly Activity Log'!G126,"")</f>
        <v/>
      </c>
      <c r="H127" s="74">
        <f>IF(AND(('Monthly Activity Log'!C126&lt;&gt;""),(OR($B$3="All",'Monthly Activity Log'!C126=$B$3)),(OR($E$3="All",'Monthly Activity Log'!B126=$E$3))),'Monthly Activity Log'!H126,"")</f>
        <v/>
      </c>
      <c r="I127" s="74">
        <f>IF(AND(('Monthly Activity Log'!C126&lt;&gt;""),(OR($B$3="All",'Monthly Activity Log'!C126=$B$3)),(OR($E$3="All",'Monthly Activity Log'!B126=$E$3))),'Monthly Activity Log'!I126,"")</f>
        <v/>
      </c>
      <c r="J127" s="74">
        <f>IF(AND(('Monthly Activity Log'!C126&lt;&gt;""),(OR($B$3="All",'Monthly Activity Log'!C126=$B$3)),(OR($E$3="All",'Monthly Activity Log'!B126=$E$3))),'Monthly Activity Log'!J126,"")</f>
        <v/>
      </c>
      <c r="K127" s="74">
        <f>IF(AND(('Monthly Activity Log'!C126&lt;&gt;""),(OR($B$3="All",'Monthly Activity Log'!C126=$B$3)),(OR($E$3="All",'Monthly Activity Log'!B126=$E$3))),'Monthly Activity Log'!K126,"")</f>
        <v/>
      </c>
    </row>
    <row r="128" ht="15.75" customHeight="1" s="65">
      <c r="A128" s="69">
        <f>IF(AND(('Monthly Activity Log'!C127&lt;&gt;""),(OR($B$3="All",'Monthly Activity Log'!C127=$B$3)),(OR($E$3="All",'Monthly Activity Log'!B127=$E$3))),ROW()-4,"")</f>
        <v/>
      </c>
      <c r="B128" s="70">
        <f>IF(AND(('Monthly Activity Log'!C127&lt;&gt;""),(OR($B$3="All",'Monthly Activity Log'!C127=$B$3)),(OR($E$3="All",'Monthly Activity Log'!B127=$E$3))),'Monthly Activity Log'!B127,"")</f>
        <v/>
      </c>
      <c r="C128" s="70">
        <f>IF(AND(('Monthly Activity Log'!C127&lt;&gt;""),(OR($B$3="All",'Monthly Activity Log'!C127=$B$3)),(OR($E$3="All",'Monthly Activity Log'!B127=$E$3))),'Monthly Activity Log'!C127,"")</f>
        <v/>
      </c>
      <c r="D128" s="70">
        <f>IF(AND(('Monthly Activity Log'!C127&lt;&gt;""),(OR($B$3="All",'Monthly Activity Log'!C127=$B$3)),(OR($E$3="All",'Monthly Activity Log'!B127=$E$3))),'Monthly Activity Log'!D127,"")</f>
        <v/>
      </c>
      <c r="E128" s="70">
        <f>IF(AND(('Monthly Activity Log'!C127&lt;&gt;""),(OR($B$3="All",'Monthly Activity Log'!C127=$B$3)),(OR($E$3="All",'Monthly Activity Log'!B127=$E$3))),'Monthly Activity Log'!E127,"")</f>
        <v/>
      </c>
      <c r="F128" s="70">
        <f>IF(AND(('Monthly Activity Log'!C127&lt;&gt;""),(OR($B$3="All",'Monthly Activity Log'!C127=$B$3)),(OR($E$3="All",'Monthly Activity Log'!B127=$E$3))),'Monthly Activity Log'!F127,"")</f>
        <v/>
      </c>
      <c r="G128" s="70">
        <f>IF(AND(('Monthly Activity Log'!C127&lt;&gt;""),(OR($B$3="All",'Monthly Activity Log'!C127=$B$3)),(OR($E$3="All",'Monthly Activity Log'!B127=$E$3))),'Monthly Activity Log'!G127,"")</f>
        <v/>
      </c>
      <c r="H128" s="70">
        <f>IF(AND(('Monthly Activity Log'!C127&lt;&gt;""),(OR($B$3="All",'Monthly Activity Log'!C127=$B$3)),(OR($E$3="All",'Monthly Activity Log'!B127=$E$3))),'Monthly Activity Log'!H127,"")</f>
        <v/>
      </c>
      <c r="I128" s="70">
        <f>IF(AND(('Monthly Activity Log'!C127&lt;&gt;""),(OR($B$3="All",'Monthly Activity Log'!C127=$B$3)),(OR($E$3="All",'Monthly Activity Log'!B127=$E$3))),'Monthly Activity Log'!I127,"")</f>
        <v/>
      </c>
      <c r="J128" s="70">
        <f>IF(AND(('Monthly Activity Log'!C127&lt;&gt;""),(OR($B$3="All",'Monthly Activity Log'!C127=$B$3)),(OR($E$3="All",'Monthly Activity Log'!B127=$E$3))),'Monthly Activity Log'!J127,"")</f>
        <v/>
      </c>
      <c r="K128" s="70">
        <f>IF(AND(('Monthly Activity Log'!C127&lt;&gt;""),(OR($B$3="All",'Monthly Activity Log'!C127=$B$3)),(OR($E$3="All",'Monthly Activity Log'!B127=$E$3))),'Monthly Activity Log'!K127,"")</f>
        <v/>
      </c>
    </row>
    <row r="129" ht="15.75" customHeight="1" s="65">
      <c r="A129" s="73">
        <f>IF(AND(('Monthly Activity Log'!C128&lt;&gt;""),(OR($B$3="All",'Monthly Activity Log'!C128=$B$3)),(OR($E$3="All",'Monthly Activity Log'!B128=$E$3))),ROW()-4,"")</f>
        <v/>
      </c>
      <c r="B129" s="74">
        <f>IF(AND(('Monthly Activity Log'!C128&lt;&gt;""),(OR($B$3="All",'Monthly Activity Log'!C128=$B$3)),(OR($E$3="All",'Monthly Activity Log'!B128=$E$3))),'Monthly Activity Log'!B128,"")</f>
        <v/>
      </c>
      <c r="C129" s="74">
        <f>IF(AND(('Monthly Activity Log'!C128&lt;&gt;""),(OR($B$3="All",'Monthly Activity Log'!C128=$B$3)),(OR($E$3="All",'Monthly Activity Log'!B128=$E$3))),'Monthly Activity Log'!C128,"")</f>
        <v/>
      </c>
      <c r="D129" s="74">
        <f>IF(AND(('Monthly Activity Log'!C128&lt;&gt;""),(OR($B$3="All",'Monthly Activity Log'!C128=$B$3)),(OR($E$3="All",'Monthly Activity Log'!B128=$E$3))),'Monthly Activity Log'!D128,"")</f>
        <v/>
      </c>
      <c r="E129" s="74">
        <f>IF(AND(('Monthly Activity Log'!C128&lt;&gt;""),(OR($B$3="All",'Monthly Activity Log'!C128=$B$3)),(OR($E$3="All",'Monthly Activity Log'!B128=$E$3))),'Monthly Activity Log'!E128,"")</f>
        <v/>
      </c>
      <c r="F129" s="74">
        <f>IF(AND(('Monthly Activity Log'!C128&lt;&gt;""),(OR($B$3="All",'Monthly Activity Log'!C128=$B$3)),(OR($E$3="All",'Monthly Activity Log'!B128=$E$3))),'Monthly Activity Log'!F128,"")</f>
        <v/>
      </c>
      <c r="G129" s="74">
        <f>IF(AND(('Monthly Activity Log'!C128&lt;&gt;""),(OR($B$3="All",'Monthly Activity Log'!C128=$B$3)),(OR($E$3="All",'Monthly Activity Log'!B128=$E$3))),'Monthly Activity Log'!G128,"")</f>
        <v/>
      </c>
      <c r="H129" s="74">
        <f>IF(AND(('Monthly Activity Log'!C128&lt;&gt;""),(OR($B$3="All",'Monthly Activity Log'!C128=$B$3)),(OR($E$3="All",'Monthly Activity Log'!B128=$E$3))),'Monthly Activity Log'!H128,"")</f>
        <v/>
      </c>
      <c r="I129" s="74">
        <f>IF(AND(('Monthly Activity Log'!C128&lt;&gt;""),(OR($B$3="All",'Monthly Activity Log'!C128=$B$3)),(OR($E$3="All",'Monthly Activity Log'!B128=$E$3))),'Monthly Activity Log'!I128,"")</f>
        <v/>
      </c>
      <c r="J129" s="74">
        <f>IF(AND(('Monthly Activity Log'!C128&lt;&gt;""),(OR($B$3="All",'Monthly Activity Log'!C128=$B$3)),(OR($E$3="All",'Monthly Activity Log'!B128=$E$3))),'Monthly Activity Log'!J128,"")</f>
        <v/>
      </c>
      <c r="K129" s="74">
        <f>IF(AND(('Monthly Activity Log'!C128&lt;&gt;""),(OR($B$3="All",'Monthly Activity Log'!C128=$B$3)),(OR($E$3="All",'Monthly Activity Log'!B128=$E$3))),'Monthly Activity Log'!K128,"")</f>
        <v/>
      </c>
    </row>
    <row r="130" ht="15.75" customHeight="1" s="65">
      <c r="A130" s="69">
        <f>IF(AND(('Monthly Activity Log'!C129&lt;&gt;""),(OR($B$3="All",'Monthly Activity Log'!C129=$B$3)),(OR($E$3="All",'Monthly Activity Log'!B129=$E$3))),ROW()-4,"")</f>
        <v/>
      </c>
      <c r="B130" s="70">
        <f>IF(AND(('Monthly Activity Log'!C129&lt;&gt;""),(OR($B$3="All",'Monthly Activity Log'!C129=$B$3)),(OR($E$3="All",'Monthly Activity Log'!B129=$E$3))),'Monthly Activity Log'!B129,"")</f>
        <v/>
      </c>
      <c r="C130" s="70">
        <f>IF(AND(('Monthly Activity Log'!C129&lt;&gt;""),(OR($B$3="All",'Monthly Activity Log'!C129=$B$3)),(OR($E$3="All",'Monthly Activity Log'!B129=$E$3))),'Monthly Activity Log'!C129,"")</f>
        <v/>
      </c>
      <c r="D130" s="70">
        <f>IF(AND(('Monthly Activity Log'!C129&lt;&gt;""),(OR($B$3="All",'Monthly Activity Log'!C129=$B$3)),(OR($E$3="All",'Monthly Activity Log'!B129=$E$3))),'Monthly Activity Log'!D129,"")</f>
        <v/>
      </c>
      <c r="E130" s="70">
        <f>IF(AND(('Monthly Activity Log'!C129&lt;&gt;""),(OR($B$3="All",'Monthly Activity Log'!C129=$B$3)),(OR($E$3="All",'Monthly Activity Log'!B129=$E$3))),'Monthly Activity Log'!E129,"")</f>
        <v/>
      </c>
      <c r="F130" s="70">
        <f>IF(AND(('Monthly Activity Log'!C129&lt;&gt;""),(OR($B$3="All",'Monthly Activity Log'!C129=$B$3)),(OR($E$3="All",'Monthly Activity Log'!B129=$E$3))),'Monthly Activity Log'!F129,"")</f>
        <v/>
      </c>
      <c r="G130" s="70">
        <f>IF(AND(('Monthly Activity Log'!C129&lt;&gt;""),(OR($B$3="All",'Monthly Activity Log'!C129=$B$3)),(OR($E$3="All",'Monthly Activity Log'!B129=$E$3))),'Monthly Activity Log'!G129,"")</f>
        <v/>
      </c>
      <c r="H130" s="70">
        <f>IF(AND(('Monthly Activity Log'!C129&lt;&gt;""),(OR($B$3="All",'Monthly Activity Log'!C129=$B$3)),(OR($E$3="All",'Monthly Activity Log'!B129=$E$3))),'Monthly Activity Log'!H129,"")</f>
        <v/>
      </c>
      <c r="I130" s="70">
        <f>IF(AND(('Monthly Activity Log'!C129&lt;&gt;""),(OR($B$3="All",'Monthly Activity Log'!C129=$B$3)),(OR($E$3="All",'Monthly Activity Log'!B129=$E$3))),'Monthly Activity Log'!I129,"")</f>
        <v/>
      </c>
      <c r="J130" s="70">
        <f>IF(AND(('Monthly Activity Log'!C129&lt;&gt;""),(OR($B$3="All",'Monthly Activity Log'!C129=$B$3)),(OR($E$3="All",'Monthly Activity Log'!B129=$E$3))),'Monthly Activity Log'!J129,"")</f>
        <v/>
      </c>
      <c r="K130" s="70">
        <f>IF(AND(('Monthly Activity Log'!C129&lt;&gt;""),(OR($B$3="All",'Monthly Activity Log'!C129=$B$3)),(OR($E$3="All",'Monthly Activity Log'!B129=$E$3))),'Monthly Activity Log'!K129,"")</f>
        <v/>
      </c>
    </row>
    <row r="131" ht="15.75" customHeight="1" s="65">
      <c r="A131" s="73">
        <f>IF(AND(('Monthly Activity Log'!C130&lt;&gt;""),(OR($B$3="All",'Monthly Activity Log'!C130=$B$3)),(OR($E$3="All",'Monthly Activity Log'!B130=$E$3))),ROW()-4,"")</f>
        <v/>
      </c>
      <c r="B131" s="74">
        <f>IF(AND(('Monthly Activity Log'!C130&lt;&gt;""),(OR($B$3="All",'Monthly Activity Log'!C130=$B$3)),(OR($E$3="All",'Monthly Activity Log'!B130=$E$3))),'Monthly Activity Log'!B130,"")</f>
        <v/>
      </c>
      <c r="C131" s="74">
        <f>IF(AND(('Monthly Activity Log'!C130&lt;&gt;""),(OR($B$3="All",'Monthly Activity Log'!C130=$B$3)),(OR($E$3="All",'Monthly Activity Log'!B130=$E$3))),'Monthly Activity Log'!C130,"")</f>
        <v/>
      </c>
      <c r="D131" s="74">
        <f>IF(AND(('Monthly Activity Log'!C130&lt;&gt;""),(OR($B$3="All",'Monthly Activity Log'!C130=$B$3)),(OR($E$3="All",'Monthly Activity Log'!B130=$E$3))),'Monthly Activity Log'!D130,"")</f>
        <v/>
      </c>
      <c r="E131" s="74">
        <f>IF(AND(('Monthly Activity Log'!C130&lt;&gt;""),(OR($B$3="All",'Monthly Activity Log'!C130=$B$3)),(OR($E$3="All",'Monthly Activity Log'!B130=$E$3))),'Monthly Activity Log'!E130,"")</f>
        <v/>
      </c>
      <c r="F131" s="74">
        <f>IF(AND(('Monthly Activity Log'!C130&lt;&gt;""),(OR($B$3="All",'Monthly Activity Log'!C130=$B$3)),(OR($E$3="All",'Monthly Activity Log'!B130=$E$3))),'Monthly Activity Log'!F130,"")</f>
        <v/>
      </c>
      <c r="G131" s="74">
        <f>IF(AND(('Monthly Activity Log'!C130&lt;&gt;""),(OR($B$3="All",'Monthly Activity Log'!C130=$B$3)),(OR($E$3="All",'Monthly Activity Log'!B130=$E$3))),'Monthly Activity Log'!G130,"")</f>
        <v/>
      </c>
      <c r="H131" s="74">
        <f>IF(AND(('Monthly Activity Log'!C130&lt;&gt;""),(OR($B$3="All",'Monthly Activity Log'!C130=$B$3)),(OR($E$3="All",'Monthly Activity Log'!B130=$E$3))),'Monthly Activity Log'!H130,"")</f>
        <v/>
      </c>
      <c r="I131" s="74">
        <f>IF(AND(('Monthly Activity Log'!C130&lt;&gt;""),(OR($B$3="All",'Monthly Activity Log'!C130=$B$3)),(OR($E$3="All",'Monthly Activity Log'!B130=$E$3))),'Monthly Activity Log'!I130,"")</f>
        <v/>
      </c>
      <c r="J131" s="74">
        <f>IF(AND(('Monthly Activity Log'!C130&lt;&gt;""),(OR($B$3="All",'Monthly Activity Log'!C130=$B$3)),(OR($E$3="All",'Monthly Activity Log'!B130=$E$3))),'Monthly Activity Log'!J130,"")</f>
        <v/>
      </c>
      <c r="K131" s="74">
        <f>IF(AND(('Monthly Activity Log'!C130&lt;&gt;""),(OR($B$3="All",'Monthly Activity Log'!C130=$B$3)),(OR($E$3="All",'Monthly Activity Log'!B130=$E$3))),'Monthly Activity Log'!K130,"")</f>
        <v/>
      </c>
    </row>
    <row r="132" ht="15.75" customHeight="1" s="65">
      <c r="A132" s="69">
        <f>IF(AND(('Monthly Activity Log'!C131&lt;&gt;""),(OR($B$3="All",'Monthly Activity Log'!C131=$B$3)),(OR($E$3="All",'Monthly Activity Log'!B131=$E$3))),ROW()-4,"")</f>
        <v/>
      </c>
      <c r="B132" s="70">
        <f>IF(AND(('Monthly Activity Log'!C131&lt;&gt;""),(OR($B$3="All",'Monthly Activity Log'!C131=$B$3)),(OR($E$3="All",'Monthly Activity Log'!B131=$E$3))),'Monthly Activity Log'!B131,"")</f>
        <v/>
      </c>
      <c r="C132" s="70">
        <f>IF(AND(('Monthly Activity Log'!C131&lt;&gt;""),(OR($B$3="All",'Monthly Activity Log'!C131=$B$3)),(OR($E$3="All",'Monthly Activity Log'!B131=$E$3))),'Monthly Activity Log'!C131,"")</f>
        <v/>
      </c>
      <c r="D132" s="70">
        <f>IF(AND(('Monthly Activity Log'!C131&lt;&gt;""),(OR($B$3="All",'Monthly Activity Log'!C131=$B$3)),(OR($E$3="All",'Monthly Activity Log'!B131=$E$3))),'Monthly Activity Log'!D131,"")</f>
        <v/>
      </c>
      <c r="E132" s="70">
        <f>IF(AND(('Monthly Activity Log'!C131&lt;&gt;""),(OR($B$3="All",'Monthly Activity Log'!C131=$B$3)),(OR($E$3="All",'Monthly Activity Log'!B131=$E$3))),'Monthly Activity Log'!E131,"")</f>
        <v/>
      </c>
      <c r="F132" s="70">
        <f>IF(AND(('Monthly Activity Log'!C131&lt;&gt;""),(OR($B$3="All",'Monthly Activity Log'!C131=$B$3)),(OR($E$3="All",'Monthly Activity Log'!B131=$E$3))),'Monthly Activity Log'!F131,"")</f>
        <v/>
      </c>
      <c r="G132" s="70">
        <f>IF(AND(('Monthly Activity Log'!C131&lt;&gt;""),(OR($B$3="All",'Monthly Activity Log'!C131=$B$3)),(OR($E$3="All",'Monthly Activity Log'!B131=$E$3))),'Monthly Activity Log'!G131,"")</f>
        <v/>
      </c>
      <c r="H132" s="70">
        <f>IF(AND(('Monthly Activity Log'!C131&lt;&gt;""),(OR($B$3="All",'Monthly Activity Log'!C131=$B$3)),(OR($E$3="All",'Monthly Activity Log'!B131=$E$3))),'Monthly Activity Log'!H131,"")</f>
        <v/>
      </c>
      <c r="I132" s="70">
        <f>IF(AND(('Monthly Activity Log'!C131&lt;&gt;""),(OR($B$3="All",'Monthly Activity Log'!C131=$B$3)),(OR($E$3="All",'Monthly Activity Log'!B131=$E$3))),'Monthly Activity Log'!I131,"")</f>
        <v/>
      </c>
      <c r="J132" s="70">
        <f>IF(AND(('Monthly Activity Log'!C131&lt;&gt;""),(OR($B$3="All",'Monthly Activity Log'!C131=$B$3)),(OR($E$3="All",'Monthly Activity Log'!B131=$E$3))),'Monthly Activity Log'!J131,"")</f>
        <v/>
      </c>
      <c r="K132" s="70">
        <f>IF(AND(('Monthly Activity Log'!C131&lt;&gt;""),(OR($B$3="All",'Monthly Activity Log'!C131=$B$3)),(OR($E$3="All",'Monthly Activity Log'!B131=$E$3))),'Monthly Activity Log'!K131,"")</f>
        <v/>
      </c>
    </row>
    <row r="133" ht="15.75" customHeight="1" s="65">
      <c r="A133" s="73">
        <f>IF(AND(('Monthly Activity Log'!C132&lt;&gt;""),(OR($B$3="All",'Monthly Activity Log'!C132=$B$3)),(OR($E$3="All",'Monthly Activity Log'!B132=$E$3))),ROW()-4,"")</f>
        <v/>
      </c>
      <c r="B133" s="74">
        <f>IF(AND(('Monthly Activity Log'!C132&lt;&gt;""),(OR($B$3="All",'Monthly Activity Log'!C132=$B$3)),(OR($E$3="All",'Monthly Activity Log'!B132=$E$3))),'Monthly Activity Log'!B132,"")</f>
        <v/>
      </c>
      <c r="C133" s="74">
        <f>IF(AND(('Monthly Activity Log'!C132&lt;&gt;""),(OR($B$3="All",'Monthly Activity Log'!C132=$B$3)),(OR($E$3="All",'Monthly Activity Log'!B132=$E$3))),'Monthly Activity Log'!C132,"")</f>
        <v/>
      </c>
      <c r="D133" s="74">
        <f>IF(AND(('Monthly Activity Log'!C132&lt;&gt;""),(OR($B$3="All",'Monthly Activity Log'!C132=$B$3)),(OR($E$3="All",'Monthly Activity Log'!B132=$E$3))),'Monthly Activity Log'!D132,"")</f>
        <v/>
      </c>
      <c r="E133" s="74">
        <f>IF(AND(('Monthly Activity Log'!C132&lt;&gt;""),(OR($B$3="All",'Monthly Activity Log'!C132=$B$3)),(OR($E$3="All",'Monthly Activity Log'!B132=$E$3))),'Monthly Activity Log'!E132,"")</f>
        <v/>
      </c>
      <c r="F133" s="74">
        <f>IF(AND(('Monthly Activity Log'!C132&lt;&gt;""),(OR($B$3="All",'Monthly Activity Log'!C132=$B$3)),(OR($E$3="All",'Monthly Activity Log'!B132=$E$3))),'Monthly Activity Log'!F132,"")</f>
        <v/>
      </c>
      <c r="G133" s="74">
        <f>IF(AND(('Monthly Activity Log'!C132&lt;&gt;""),(OR($B$3="All",'Monthly Activity Log'!C132=$B$3)),(OR($E$3="All",'Monthly Activity Log'!B132=$E$3))),'Monthly Activity Log'!G132,"")</f>
        <v/>
      </c>
      <c r="H133" s="74">
        <f>IF(AND(('Monthly Activity Log'!C132&lt;&gt;""),(OR($B$3="All",'Monthly Activity Log'!C132=$B$3)),(OR($E$3="All",'Monthly Activity Log'!B132=$E$3))),'Monthly Activity Log'!H132,"")</f>
        <v/>
      </c>
      <c r="I133" s="74">
        <f>IF(AND(('Monthly Activity Log'!C132&lt;&gt;""),(OR($B$3="All",'Monthly Activity Log'!C132=$B$3)),(OR($E$3="All",'Monthly Activity Log'!B132=$E$3))),'Monthly Activity Log'!I132,"")</f>
        <v/>
      </c>
      <c r="J133" s="74">
        <f>IF(AND(('Monthly Activity Log'!C132&lt;&gt;""),(OR($B$3="All",'Monthly Activity Log'!C132=$B$3)),(OR($E$3="All",'Monthly Activity Log'!B132=$E$3))),'Monthly Activity Log'!J132,"")</f>
        <v/>
      </c>
      <c r="K133" s="74">
        <f>IF(AND(('Monthly Activity Log'!C132&lt;&gt;""),(OR($B$3="All",'Monthly Activity Log'!C132=$B$3)),(OR($E$3="All",'Monthly Activity Log'!B132=$E$3))),'Monthly Activity Log'!K132,"")</f>
        <v/>
      </c>
    </row>
    <row r="134" ht="15.75" customHeight="1" s="65">
      <c r="A134" s="69">
        <f>IF(AND(('Monthly Activity Log'!C133&lt;&gt;""),(OR($B$3="All",'Monthly Activity Log'!C133=$B$3)),(OR($E$3="All",'Monthly Activity Log'!B133=$E$3))),ROW()-4,"")</f>
        <v/>
      </c>
      <c r="B134" s="70">
        <f>IF(AND(('Monthly Activity Log'!C133&lt;&gt;""),(OR($B$3="All",'Monthly Activity Log'!C133=$B$3)),(OR($E$3="All",'Monthly Activity Log'!B133=$E$3))),'Monthly Activity Log'!B133,"")</f>
        <v/>
      </c>
      <c r="C134" s="70">
        <f>IF(AND(('Monthly Activity Log'!C133&lt;&gt;""),(OR($B$3="All",'Monthly Activity Log'!C133=$B$3)),(OR($E$3="All",'Monthly Activity Log'!B133=$E$3))),'Monthly Activity Log'!C133,"")</f>
        <v/>
      </c>
      <c r="D134" s="70">
        <f>IF(AND(('Monthly Activity Log'!C133&lt;&gt;""),(OR($B$3="All",'Monthly Activity Log'!C133=$B$3)),(OR($E$3="All",'Monthly Activity Log'!B133=$E$3))),'Monthly Activity Log'!D133,"")</f>
        <v/>
      </c>
      <c r="E134" s="70">
        <f>IF(AND(('Monthly Activity Log'!C133&lt;&gt;""),(OR($B$3="All",'Monthly Activity Log'!C133=$B$3)),(OR($E$3="All",'Monthly Activity Log'!B133=$E$3))),'Monthly Activity Log'!E133,"")</f>
        <v/>
      </c>
      <c r="F134" s="70">
        <f>IF(AND(('Monthly Activity Log'!C133&lt;&gt;""),(OR($B$3="All",'Monthly Activity Log'!C133=$B$3)),(OR($E$3="All",'Monthly Activity Log'!B133=$E$3))),'Monthly Activity Log'!F133,"")</f>
        <v/>
      </c>
      <c r="G134" s="70">
        <f>IF(AND(('Monthly Activity Log'!C133&lt;&gt;""),(OR($B$3="All",'Monthly Activity Log'!C133=$B$3)),(OR($E$3="All",'Monthly Activity Log'!B133=$E$3))),'Monthly Activity Log'!G133,"")</f>
        <v/>
      </c>
      <c r="H134" s="70">
        <f>IF(AND(('Monthly Activity Log'!C133&lt;&gt;""),(OR($B$3="All",'Monthly Activity Log'!C133=$B$3)),(OR($E$3="All",'Monthly Activity Log'!B133=$E$3))),'Monthly Activity Log'!H133,"")</f>
        <v/>
      </c>
      <c r="I134" s="70">
        <f>IF(AND(('Monthly Activity Log'!C133&lt;&gt;""),(OR($B$3="All",'Monthly Activity Log'!C133=$B$3)),(OR($E$3="All",'Monthly Activity Log'!B133=$E$3))),'Monthly Activity Log'!I133,"")</f>
        <v/>
      </c>
      <c r="J134" s="70">
        <f>IF(AND(('Monthly Activity Log'!C133&lt;&gt;""),(OR($B$3="All",'Monthly Activity Log'!C133=$B$3)),(OR($E$3="All",'Monthly Activity Log'!B133=$E$3))),'Monthly Activity Log'!J133,"")</f>
        <v/>
      </c>
      <c r="K134" s="70">
        <f>IF(AND(('Monthly Activity Log'!C133&lt;&gt;""),(OR($B$3="All",'Monthly Activity Log'!C133=$B$3)),(OR($E$3="All",'Monthly Activity Log'!B133=$E$3))),'Monthly Activity Log'!K133,"")</f>
        <v/>
      </c>
    </row>
    <row r="135" ht="15.75" customHeight="1" s="65">
      <c r="A135" s="73">
        <f>IF(AND(('Monthly Activity Log'!C134&lt;&gt;""),(OR($B$3="All",'Monthly Activity Log'!C134=$B$3)),(OR($E$3="All",'Monthly Activity Log'!B134=$E$3))),ROW()-4,"")</f>
        <v/>
      </c>
      <c r="B135" s="74">
        <f>IF(AND(('Monthly Activity Log'!C134&lt;&gt;""),(OR($B$3="All",'Monthly Activity Log'!C134=$B$3)),(OR($E$3="All",'Monthly Activity Log'!B134=$E$3))),'Monthly Activity Log'!B134,"")</f>
        <v/>
      </c>
      <c r="C135" s="74">
        <f>IF(AND(('Monthly Activity Log'!C134&lt;&gt;""),(OR($B$3="All",'Monthly Activity Log'!C134=$B$3)),(OR($E$3="All",'Monthly Activity Log'!B134=$E$3))),'Monthly Activity Log'!C134,"")</f>
        <v/>
      </c>
      <c r="D135" s="74">
        <f>IF(AND(('Monthly Activity Log'!C134&lt;&gt;""),(OR($B$3="All",'Monthly Activity Log'!C134=$B$3)),(OR($E$3="All",'Monthly Activity Log'!B134=$E$3))),'Monthly Activity Log'!D134,"")</f>
        <v/>
      </c>
      <c r="E135" s="74">
        <f>IF(AND(('Monthly Activity Log'!C134&lt;&gt;""),(OR($B$3="All",'Monthly Activity Log'!C134=$B$3)),(OR($E$3="All",'Monthly Activity Log'!B134=$E$3))),'Monthly Activity Log'!E134,"")</f>
        <v/>
      </c>
      <c r="F135" s="74">
        <f>IF(AND(('Monthly Activity Log'!C134&lt;&gt;""),(OR($B$3="All",'Monthly Activity Log'!C134=$B$3)),(OR($E$3="All",'Monthly Activity Log'!B134=$E$3))),'Monthly Activity Log'!F134,"")</f>
        <v/>
      </c>
      <c r="G135" s="74">
        <f>IF(AND(('Monthly Activity Log'!C134&lt;&gt;""),(OR($B$3="All",'Monthly Activity Log'!C134=$B$3)),(OR($E$3="All",'Monthly Activity Log'!B134=$E$3))),'Monthly Activity Log'!G134,"")</f>
        <v/>
      </c>
      <c r="H135" s="74">
        <f>IF(AND(('Monthly Activity Log'!C134&lt;&gt;""),(OR($B$3="All",'Monthly Activity Log'!C134=$B$3)),(OR($E$3="All",'Monthly Activity Log'!B134=$E$3))),'Monthly Activity Log'!H134,"")</f>
        <v/>
      </c>
      <c r="I135" s="74">
        <f>IF(AND(('Monthly Activity Log'!C134&lt;&gt;""),(OR($B$3="All",'Monthly Activity Log'!C134=$B$3)),(OR($E$3="All",'Monthly Activity Log'!B134=$E$3))),'Monthly Activity Log'!I134,"")</f>
        <v/>
      </c>
      <c r="J135" s="74">
        <f>IF(AND(('Monthly Activity Log'!C134&lt;&gt;""),(OR($B$3="All",'Monthly Activity Log'!C134=$B$3)),(OR($E$3="All",'Monthly Activity Log'!B134=$E$3))),'Monthly Activity Log'!J134,"")</f>
        <v/>
      </c>
      <c r="K135" s="74">
        <f>IF(AND(('Monthly Activity Log'!C134&lt;&gt;""),(OR($B$3="All",'Monthly Activity Log'!C134=$B$3)),(OR($E$3="All",'Monthly Activity Log'!B134=$E$3))),'Monthly Activity Log'!K134,"")</f>
        <v/>
      </c>
    </row>
    <row r="136" ht="15.75" customHeight="1" s="65">
      <c r="A136" s="69">
        <f>IF(AND(('Monthly Activity Log'!C135&lt;&gt;""),(OR($B$3="All",'Monthly Activity Log'!C135=$B$3)),(OR($E$3="All",'Monthly Activity Log'!B135=$E$3))),ROW()-4,"")</f>
        <v/>
      </c>
      <c r="B136" s="70">
        <f>IF(AND(('Monthly Activity Log'!C135&lt;&gt;""),(OR($B$3="All",'Monthly Activity Log'!C135=$B$3)),(OR($E$3="All",'Monthly Activity Log'!B135=$E$3))),'Monthly Activity Log'!B135,"")</f>
        <v/>
      </c>
      <c r="C136" s="70">
        <f>IF(AND(('Monthly Activity Log'!C135&lt;&gt;""),(OR($B$3="All",'Monthly Activity Log'!C135=$B$3)),(OR($E$3="All",'Monthly Activity Log'!B135=$E$3))),'Monthly Activity Log'!C135,"")</f>
        <v/>
      </c>
      <c r="D136" s="70">
        <f>IF(AND(('Monthly Activity Log'!C135&lt;&gt;""),(OR($B$3="All",'Monthly Activity Log'!C135=$B$3)),(OR($E$3="All",'Monthly Activity Log'!B135=$E$3))),'Monthly Activity Log'!D135,"")</f>
        <v/>
      </c>
      <c r="E136" s="70">
        <f>IF(AND(('Monthly Activity Log'!C135&lt;&gt;""),(OR($B$3="All",'Monthly Activity Log'!C135=$B$3)),(OR($E$3="All",'Monthly Activity Log'!B135=$E$3))),'Monthly Activity Log'!E135,"")</f>
        <v/>
      </c>
      <c r="F136" s="70">
        <f>IF(AND(('Monthly Activity Log'!C135&lt;&gt;""),(OR($B$3="All",'Monthly Activity Log'!C135=$B$3)),(OR($E$3="All",'Monthly Activity Log'!B135=$E$3))),'Monthly Activity Log'!F135,"")</f>
        <v/>
      </c>
      <c r="G136" s="70">
        <f>IF(AND(('Monthly Activity Log'!C135&lt;&gt;""),(OR($B$3="All",'Monthly Activity Log'!C135=$B$3)),(OR($E$3="All",'Monthly Activity Log'!B135=$E$3))),'Monthly Activity Log'!G135,"")</f>
        <v/>
      </c>
      <c r="H136" s="70">
        <f>IF(AND(('Monthly Activity Log'!C135&lt;&gt;""),(OR($B$3="All",'Monthly Activity Log'!C135=$B$3)),(OR($E$3="All",'Monthly Activity Log'!B135=$E$3))),'Monthly Activity Log'!H135,"")</f>
        <v/>
      </c>
      <c r="I136" s="70">
        <f>IF(AND(('Monthly Activity Log'!C135&lt;&gt;""),(OR($B$3="All",'Monthly Activity Log'!C135=$B$3)),(OR($E$3="All",'Monthly Activity Log'!B135=$E$3))),'Monthly Activity Log'!I135,"")</f>
        <v/>
      </c>
      <c r="J136" s="70">
        <f>IF(AND(('Monthly Activity Log'!C135&lt;&gt;""),(OR($B$3="All",'Monthly Activity Log'!C135=$B$3)),(OR($E$3="All",'Monthly Activity Log'!B135=$E$3))),'Monthly Activity Log'!J135,"")</f>
        <v/>
      </c>
      <c r="K136" s="70">
        <f>IF(AND(('Monthly Activity Log'!C135&lt;&gt;""),(OR($B$3="All",'Monthly Activity Log'!C135=$B$3)),(OR($E$3="All",'Monthly Activity Log'!B135=$E$3))),'Monthly Activity Log'!K135,"")</f>
        <v/>
      </c>
    </row>
    <row r="137" ht="15.75" customHeight="1" s="65">
      <c r="A137" s="73">
        <f>IF(AND(('Monthly Activity Log'!C136&lt;&gt;""),(OR($B$3="All",'Monthly Activity Log'!C136=$B$3)),(OR($E$3="All",'Monthly Activity Log'!B136=$E$3))),ROW()-4,"")</f>
        <v/>
      </c>
      <c r="B137" s="74">
        <f>IF(AND(('Monthly Activity Log'!C136&lt;&gt;""),(OR($B$3="All",'Monthly Activity Log'!C136=$B$3)),(OR($E$3="All",'Monthly Activity Log'!B136=$E$3))),'Monthly Activity Log'!B136,"")</f>
        <v/>
      </c>
      <c r="C137" s="74">
        <f>IF(AND(('Monthly Activity Log'!C136&lt;&gt;""),(OR($B$3="All",'Monthly Activity Log'!C136=$B$3)),(OR($E$3="All",'Monthly Activity Log'!B136=$E$3))),'Monthly Activity Log'!C136,"")</f>
        <v/>
      </c>
      <c r="D137" s="74">
        <f>IF(AND(('Monthly Activity Log'!C136&lt;&gt;""),(OR($B$3="All",'Monthly Activity Log'!C136=$B$3)),(OR($E$3="All",'Monthly Activity Log'!B136=$E$3))),'Monthly Activity Log'!D136,"")</f>
        <v/>
      </c>
      <c r="E137" s="74">
        <f>IF(AND(('Monthly Activity Log'!C136&lt;&gt;""),(OR($B$3="All",'Monthly Activity Log'!C136=$B$3)),(OR($E$3="All",'Monthly Activity Log'!B136=$E$3))),'Monthly Activity Log'!E136,"")</f>
        <v/>
      </c>
      <c r="F137" s="74">
        <f>IF(AND(('Monthly Activity Log'!C136&lt;&gt;""),(OR($B$3="All",'Monthly Activity Log'!C136=$B$3)),(OR($E$3="All",'Monthly Activity Log'!B136=$E$3))),'Monthly Activity Log'!F136,"")</f>
        <v/>
      </c>
      <c r="G137" s="74">
        <f>IF(AND(('Monthly Activity Log'!C136&lt;&gt;""),(OR($B$3="All",'Monthly Activity Log'!C136=$B$3)),(OR($E$3="All",'Monthly Activity Log'!B136=$E$3))),'Monthly Activity Log'!G136,"")</f>
        <v/>
      </c>
      <c r="H137" s="74">
        <f>IF(AND(('Monthly Activity Log'!C136&lt;&gt;""),(OR($B$3="All",'Monthly Activity Log'!C136=$B$3)),(OR($E$3="All",'Monthly Activity Log'!B136=$E$3))),'Monthly Activity Log'!H136,"")</f>
        <v/>
      </c>
      <c r="I137" s="74">
        <f>IF(AND(('Monthly Activity Log'!C136&lt;&gt;""),(OR($B$3="All",'Monthly Activity Log'!C136=$B$3)),(OR($E$3="All",'Monthly Activity Log'!B136=$E$3))),'Monthly Activity Log'!I136,"")</f>
        <v/>
      </c>
      <c r="J137" s="74">
        <f>IF(AND(('Monthly Activity Log'!C136&lt;&gt;""),(OR($B$3="All",'Monthly Activity Log'!C136=$B$3)),(OR($E$3="All",'Monthly Activity Log'!B136=$E$3))),'Monthly Activity Log'!J136,"")</f>
        <v/>
      </c>
      <c r="K137" s="74">
        <f>IF(AND(('Monthly Activity Log'!C136&lt;&gt;""),(OR($B$3="All",'Monthly Activity Log'!C136=$B$3)),(OR($E$3="All",'Monthly Activity Log'!B136=$E$3))),'Monthly Activity Log'!K136,"")</f>
        <v/>
      </c>
    </row>
    <row r="138" ht="15.75" customHeight="1" s="65">
      <c r="A138" s="69">
        <f>IF(AND(('Monthly Activity Log'!C137&lt;&gt;""),(OR($B$3="All",'Monthly Activity Log'!C137=$B$3)),(OR($E$3="All",'Monthly Activity Log'!B137=$E$3))),ROW()-4,"")</f>
        <v/>
      </c>
      <c r="B138" s="70">
        <f>IF(AND(('Monthly Activity Log'!C137&lt;&gt;""),(OR($B$3="All",'Monthly Activity Log'!C137=$B$3)),(OR($E$3="All",'Monthly Activity Log'!B137=$E$3))),'Monthly Activity Log'!B137,"")</f>
        <v/>
      </c>
      <c r="C138" s="70">
        <f>IF(AND(('Monthly Activity Log'!C137&lt;&gt;""),(OR($B$3="All",'Monthly Activity Log'!C137=$B$3)),(OR($E$3="All",'Monthly Activity Log'!B137=$E$3))),'Monthly Activity Log'!C137,"")</f>
        <v/>
      </c>
      <c r="D138" s="70">
        <f>IF(AND(('Monthly Activity Log'!C137&lt;&gt;""),(OR($B$3="All",'Monthly Activity Log'!C137=$B$3)),(OR($E$3="All",'Monthly Activity Log'!B137=$E$3))),'Monthly Activity Log'!D137,"")</f>
        <v/>
      </c>
      <c r="E138" s="70">
        <f>IF(AND(('Monthly Activity Log'!C137&lt;&gt;""),(OR($B$3="All",'Monthly Activity Log'!C137=$B$3)),(OR($E$3="All",'Monthly Activity Log'!B137=$E$3))),'Monthly Activity Log'!E137,"")</f>
        <v/>
      </c>
      <c r="F138" s="70">
        <f>IF(AND(('Monthly Activity Log'!C137&lt;&gt;""),(OR($B$3="All",'Monthly Activity Log'!C137=$B$3)),(OR($E$3="All",'Monthly Activity Log'!B137=$E$3))),'Monthly Activity Log'!F137,"")</f>
        <v/>
      </c>
      <c r="G138" s="70">
        <f>IF(AND(('Monthly Activity Log'!C137&lt;&gt;""),(OR($B$3="All",'Monthly Activity Log'!C137=$B$3)),(OR($E$3="All",'Monthly Activity Log'!B137=$E$3))),'Monthly Activity Log'!G137,"")</f>
        <v/>
      </c>
      <c r="H138" s="70">
        <f>IF(AND(('Monthly Activity Log'!C137&lt;&gt;""),(OR($B$3="All",'Monthly Activity Log'!C137=$B$3)),(OR($E$3="All",'Monthly Activity Log'!B137=$E$3))),'Monthly Activity Log'!H137,"")</f>
        <v/>
      </c>
      <c r="I138" s="70">
        <f>IF(AND(('Monthly Activity Log'!C137&lt;&gt;""),(OR($B$3="All",'Monthly Activity Log'!C137=$B$3)),(OR($E$3="All",'Monthly Activity Log'!B137=$E$3))),'Monthly Activity Log'!I137,"")</f>
        <v/>
      </c>
      <c r="J138" s="70">
        <f>IF(AND(('Monthly Activity Log'!C137&lt;&gt;""),(OR($B$3="All",'Monthly Activity Log'!C137=$B$3)),(OR($E$3="All",'Monthly Activity Log'!B137=$E$3))),'Monthly Activity Log'!J137,"")</f>
        <v/>
      </c>
      <c r="K138" s="70">
        <f>IF(AND(('Monthly Activity Log'!C137&lt;&gt;""),(OR($B$3="All",'Monthly Activity Log'!C137=$B$3)),(OR($E$3="All",'Monthly Activity Log'!B137=$E$3))),'Monthly Activity Log'!K137,"")</f>
        <v/>
      </c>
    </row>
    <row r="139" ht="15.75" customHeight="1" s="65">
      <c r="A139" s="73">
        <f>IF(AND(('Monthly Activity Log'!C138&lt;&gt;""),(OR($B$3="All",'Monthly Activity Log'!C138=$B$3)),(OR($E$3="All",'Monthly Activity Log'!B138=$E$3))),ROW()-4,"")</f>
        <v/>
      </c>
      <c r="B139" s="74">
        <f>IF(AND(('Monthly Activity Log'!C138&lt;&gt;""),(OR($B$3="All",'Monthly Activity Log'!C138=$B$3)),(OR($E$3="All",'Monthly Activity Log'!B138=$E$3))),'Monthly Activity Log'!B138,"")</f>
        <v/>
      </c>
      <c r="C139" s="74">
        <f>IF(AND(('Monthly Activity Log'!C138&lt;&gt;""),(OR($B$3="All",'Monthly Activity Log'!C138=$B$3)),(OR($E$3="All",'Monthly Activity Log'!B138=$E$3))),'Monthly Activity Log'!C138,"")</f>
        <v/>
      </c>
      <c r="D139" s="74">
        <f>IF(AND(('Monthly Activity Log'!C138&lt;&gt;""),(OR($B$3="All",'Monthly Activity Log'!C138=$B$3)),(OR($E$3="All",'Monthly Activity Log'!B138=$E$3))),'Monthly Activity Log'!D138,"")</f>
        <v/>
      </c>
      <c r="E139" s="74">
        <f>IF(AND(('Monthly Activity Log'!C138&lt;&gt;""),(OR($B$3="All",'Monthly Activity Log'!C138=$B$3)),(OR($E$3="All",'Monthly Activity Log'!B138=$E$3))),'Monthly Activity Log'!E138,"")</f>
        <v/>
      </c>
      <c r="F139" s="74">
        <f>IF(AND(('Monthly Activity Log'!C138&lt;&gt;""),(OR($B$3="All",'Monthly Activity Log'!C138=$B$3)),(OR($E$3="All",'Monthly Activity Log'!B138=$E$3))),'Monthly Activity Log'!F138,"")</f>
        <v/>
      </c>
      <c r="G139" s="74">
        <f>IF(AND(('Monthly Activity Log'!C138&lt;&gt;""),(OR($B$3="All",'Monthly Activity Log'!C138=$B$3)),(OR($E$3="All",'Monthly Activity Log'!B138=$E$3))),'Monthly Activity Log'!G138,"")</f>
        <v/>
      </c>
      <c r="H139" s="74">
        <f>IF(AND(('Monthly Activity Log'!C138&lt;&gt;""),(OR($B$3="All",'Monthly Activity Log'!C138=$B$3)),(OR($E$3="All",'Monthly Activity Log'!B138=$E$3))),'Monthly Activity Log'!H138,"")</f>
        <v/>
      </c>
      <c r="I139" s="74">
        <f>IF(AND(('Monthly Activity Log'!C138&lt;&gt;""),(OR($B$3="All",'Monthly Activity Log'!C138=$B$3)),(OR($E$3="All",'Monthly Activity Log'!B138=$E$3))),'Monthly Activity Log'!I138,"")</f>
        <v/>
      </c>
      <c r="J139" s="74">
        <f>IF(AND(('Monthly Activity Log'!C138&lt;&gt;""),(OR($B$3="All",'Monthly Activity Log'!C138=$B$3)),(OR($E$3="All",'Monthly Activity Log'!B138=$E$3))),'Monthly Activity Log'!J138,"")</f>
        <v/>
      </c>
      <c r="K139" s="74">
        <f>IF(AND(('Monthly Activity Log'!C138&lt;&gt;""),(OR($B$3="All",'Monthly Activity Log'!C138=$B$3)),(OR($E$3="All",'Monthly Activity Log'!B138=$E$3))),'Monthly Activity Log'!K138,"")</f>
        <v/>
      </c>
    </row>
    <row r="140" ht="15.75" customHeight="1" s="65">
      <c r="A140" s="69">
        <f>IF(AND(('Monthly Activity Log'!C139&lt;&gt;""),(OR($B$3="All",'Monthly Activity Log'!C139=$B$3)),(OR($E$3="All",'Monthly Activity Log'!B139=$E$3))),ROW()-4,"")</f>
        <v/>
      </c>
      <c r="B140" s="70">
        <f>IF(AND(('Monthly Activity Log'!C139&lt;&gt;""),(OR($B$3="All",'Monthly Activity Log'!C139=$B$3)),(OR($E$3="All",'Monthly Activity Log'!B139=$E$3))),'Monthly Activity Log'!B139,"")</f>
        <v/>
      </c>
      <c r="C140" s="70">
        <f>IF(AND(('Monthly Activity Log'!C139&lt;&gt;""),(OR($B$3="All",'Monthly Activity Log'!C139=$B$3)),(OR($E$3="All",'Monthly Activity Log'!B139=$E$3))),'Monthly Activity Log'!C139,"")</f>
        <v/>
      </c>
      <c r="D140" s="70">
        <f>IF(AND(('Monthly Activity Log'!C139&lt;&gt;""),(OR($B$3="All",'Monthly Activity Log'!C139=$B$3)),(OR($E$3="All",'Monthly Activity Log'!B139=$E$3))),'Monthly Activity Log'!D139,"")</f>
        <v/>
      </c>
      <c r="E140" s="70">
        <f>IF(AND(('Monthly Activity Log'!C139&lt;&gt;""),(OR($B$3="All",'Monthly Activity Log'!C139=$B$3)),(OR($E$3="All",'Monthly Activity Log'!B139=$E$3))),'Monthly Activity Log'!E139,"")</f>
        <v/>
      </c>
      <c r="F140" s="70">
        <f>IF(AND(('Monthly Activity Log'!C139&lt;&gt;""),(OR($B$3="All",'Monthly Activity Log'!C139=$B$3)),(OR($E$3="All",'Monthly Activity Log'!B139=$E$3))),'Monthly Activity Log'!F139,"")</f>
        <v/>
      </c>
      <c r="G140" s="70">
        <f>IF(AND(('Monthly Activity Log'!C139&lt;&gt;""),(OR($B$3="All",'Monthly Activity Log'!C139=$B$3)),(OR($E$3="All",'Monthly Activity Log'!B139=$E$3))),'Monthly Activity Log'!G139,"")</f>
        <v/>
      </c>
      <c r="H140" s="70">
        <f>IF(AND(('Monthly Activity Log'!C139&lt;&gt;""),(OR($B$3="All",'Monthly Activity Log'!C139=$B$3)),(OR($E$3="All",'Monthly Activity Log'!B139=$E$3))),'Monthly Activity Log'!H139,"")</f>
        <v/>
      </c>
      <c r="I140" s="70">
        <f>IF(AND(('Monthly Activity Log'!C139&lt;&gt;""),(OR($B$3="All",'Monthly Activity Log'!C139=$B$3)),(OR($E$3="All",'Monthly Activity Log'!B139=$E$3))),'Monthly Activity Log'!I139,"")</f>
        <v/>
      </c>
      <c r="J140" s="70">
        <f>IF(AND(('Monthly Activity Log'!C139&lt;&gt;""),(OR($B$3="All",'Monthly Activity Log'!C139=$B$3)),(OR($E$3="All",'Monthly Activity Log'!B139=$E$3))),'Monthly Activity Log'!J139,"")</f>
        <v/>
      </c>
      <c r="K140" s="70">
        <f>IF(AND(('Monthly Activity Log'!C139&lt;&gt;""),(OR($B$3="All",'Monthly Activity Log'!C139=$B$3)),(OR($E$3="All",'Monthly Activity Log'!B139=$E$3))),'Monthly Activity Log'!K139,"")</f>
        <v/>
      </c>
    </row>
    <row r="141" ht="15.75" customHeight="1" s="65">
      <c r="A141" s="73">
        <f>IF(AND(('Monthly Activity Log'!C140&lt;&gt;""),(OR($B$3="All",'Monthly Activity Log'!C140=$B$3)),(OR($E$3="All",'Monthly Activity Log'!B140=$E$3))),ROW()-4,"")</f>
        <v/>
      </c>
      <c r="B141" s="74">
        <f>IF(AND(('Monthly Activity Log'!C140&lt;&gt;""),(OR($B$3="All",'Monthly Activity Log'!C140=$B$3)),(OR($E$3="All",'Monthly Activity Log'!B140=$E$3))),'Monthly Activity Log'!B140,"")</f>
        <v/>
      </c>
      <c r="C141" s="74">
        <f>IF(AND(('Monthly Activity Log'!C140&lt;&gt;""),(OR($B$3="All",'Monthly Activity Log'!C140=$B$3)),(OR($E$3="All",'Monthly Activity Log'!B140=$E$3))),'Monthly Activity Log'!C140,"")</f>
        <v/>
      </c>
      <c r="D141" s="74">
        <f>IF(AND(('Monthly Activity Log'!C140&lt;&gt;""),(OR($B$3="All",'Monthly Activity Log'!C140=$B$3)),(OR($E$3="All",'Monthly Activity Log'!B140=$E$3))),'Monthly Activity Log'!D140,"")</f>
        <v/>
      </c>
      <c r="E141" s="74">
        <f>IF(AND(('Monthly Activity Log'!C140&lt;&gt;""),(OR($B$3="All",'Monthly Activity Log'!C140=$B$3)),(OR($E$3="All",'Monthly Activity Log'!B140=$E$3))),'Monthly Activity Log'!E140,"")</f>
        <v/>
      </c>
      <c r="F141" s="74">
        <f>IF(AND(('Monthly Activity Log'!C140&lt;&gt;""),(OR($B$3="All",'Monthly Activity Log'!C140=$B$3)),(OR($E$3="All",'Monthly Activity Log'!B140=$E$3))),'Monthly Activity Log'!F140,"")</f>
        <v/>
      </c>
      <c r="G141" s="74">
        <f>IF(AND(('Monthly Activity Log'!C140&lt;&gt;""),(OR($B$3="All",'Monthly Activity Log'!C140=$B$3)),(OR($E$3="All",'Monthly Activity Log'!B140=$E$3))),'Monthly Activity Log'!G140,"")</f>
        <v/>
      </c>
      <c r="H141" s="74">
        <f>IF(AND(('Monthly Activity Log'!C140&lt;&gt;""),(OR($B$3="All",'Monthly Activity Log'!C140=$B$3)),(OR($E$3="All",'Monthly Activity Log'!B140=$E$3))),'Monthly Activity Log'!H140,"")</f>
        <v/>
      </c>
      <c r="I141" s="74">
        <f>IF(AND(('Monthly Activity Log'!C140&lt;&gt;""),(OR($B$3="All",'Monthly Activity Log'!C140=$B$3)),(OR($E$3="All",'Monthly Activity Log'!B140=$E$3))),'Monthly Activity Log'!I140,"")</f>
        <v/>
      </c>
      <c r="J141" s="74">
        <f>IF(AND(('Monthly Activity Log'!C140&lt;&gt;""),(OR($B$3="All",'Monthly Activity Log'!C140=$B$3)),(OR($E$3="All",'Monthly Activity Log'!B140=$E$3))),'Monthly Activity Log'!J140,"")</f>
        <v/>
      </c>
      <c r="K141" s="74">
        <f>IF(AND(('Monthly Activity Log'!C140&lt;&gt;""),(OR($B$3="All",'Monthly Activity Log'!C140=$B$3)),(OR($E$3="All",'Monthly Activity Log'!B140=$E$3))),'Monthly Activity Log'!K140,"")</f>
        <v/>
      </c>
    </row>
    <row r="142" ht="15.75" customHeight="1" s="65">
      <c r="A142" s="69">
        <f>IF(AND(('Monthly Activity Log'!C141&lt;&gt;""),(OR($B$3="All",'Monthly Activity Log'!C141=$B$3)),(OR($E$3="All",'Monthly Activity Log'!B141=$E$3))),ROW()-4,"")</f>
        <v/>
      </c>
      <c r="B142" s="70">
        <f>IF(AND(('Monthly Activity Log'!C141&lt;&gt;""),(OR($B$3="All",'Monthly Activity Log'!C141=$B$3)),(OR($E$3="All",'Monthly Activity Log'!B141=$E$3))),'Monthly Activity Log'!B141,"")</f>
        <v/>
      </c>
      <c r="C142" s="70">
        <f>IF(AND(('Monthly Activity Log'!C141&lt;&gt;""),(OR($B$3="All",'Monthly Activity Log'!C141=$B$3)),(OR($E$3="All",'Monthly Activity Log'!B141=$E$3))),'Monthly Activity Log'!C141,"")</f>
        <v/>
      </c>
      <c r="D142" s="70">
        <f>IF(AND(('Monthly Activity Log'!C141&lt;&gt;""),(OR($B$3="All",'Monthly Activity Log'!C141=$B$3)),(OR($E$3="All",'Monthly Activity Log'!B141=$E$3))),'Monthly Activity Log'!D141,"")</f>
        <v/>
      </c>
      <c r="E142" s="70">
        <f>IF(AND(('Monthly Activity Log'!C141&lt;&gt;""),(OR($B$3="All",'Monthly Activity Log'!C141=$B$3)),(OR($E$3="All",'Monthly Activity Log'!B141=$E$3))),'Monthly Activity Log'!E141,"")</f>
        <v/>
      </c>
      <c r="F142" s="70">
        <f>IF(AND(('Monthly Activity Log'!C141&lt;&gt;""),(OR($B$3="All",'Monthly Activity Log'!C141=$B$3)),(OR($E$3="All",'Monthly Activity Log'!B141=$E$3))),'Monthly Activity Log'!F141,"")</f>
        <v/>
      </c>
      <c r="G142" s="70">
        <f>IF(AND(('Monthly Activity Log'!C141&lt;&gt;""),(OR($B$3="All",'Monthly Activity Log'!C141=$B$3)),(OR($E$3="All",'Monthly Activity Log'!B141=$E$3))),'Monthly Activity Log'!G141,"")</f>
        <v/>
      </c>
      <c r="H142" s="70">
        <f>IF(AND(('Monthly Activity Log'!C141&lt;&gt;""),(OR($B$3="All",'Monthly Activity Log'!C141=$B$3)),(OR($E$3="All",'Monthly Activity Log'!B141=$E$3))),'Monthly Activity Log'!H141,"")</f>
        <v/>
      </c>
      <c r="I142" s="70">
        <f>IF(AND(('Monthly Activity Log'!C141&lt;&gt;""),(OR($B$3="All",'Monthly Activity Log'!C141=$B$3)),(OR($E$3="All",'Monthly Activity Log'!B141=$E$3))),'Monthly Activity Log'!I141,"")</f>
        <v/>
      </c>
      <c r="J142" s="70">
        <f>IF(AND(('Monthly Activity Log'!C141&lt;&gt;""),(OR($B$3="All",'Monthly Activity Log'!C141=$B$3)),(OR($E$3="All",'Monthly Activity Log'!B141=$E$3))),'Monthly Activity Log'!J141,"")</f>
        <v/>
      </c>
      <c r="K142" s="70">
        <f>IF(AND(('Monthly Activity Log'!C141&lt;&gt;""),(OR($B$3="All",'Monthly Activity Log'!C141=$B$3)),(OR($E$3="All",'Monthly Activity Log'!B141=$E$3))),'Monthly Activity Log'!K141,"")</f>
        <v/>
      </c>
    </row>
    <row r="143" ht="15.75" customHeight="1" s="65">
      <c r="A143" s="73">
        <f>IF(AND(('Monthly Activity Log'!C142&lt;&gt;""),(OR($B$3="All",'Monthly Activity Log'!C142=$B$3)),(OR($E$3="All",'Monthly Activity Log'!B142=$E$3))),ROW()-4,"")</f>
        <v/>
      </c>
      <c r="B143" s="74">
        <f>IF(AND(('Monthly Activity Log'!C142&lt;&gt;""),(OR($B$3="All",'Monthly Activity Log'!C142=$B$3)),(OR($E$3="All",'Monthly Activity Log'!B142=$E$3))),'Monthly Activity Log'!B142,"")</f>
        <v/>
      </c>
      <c r="C143" s="74">
        <f>IF(AND(('Monthly Activity Log'!C142&lt;&gt;""),(OR($B$3="All",'Monthly Activity Log'!C142=$B$3)),(OR($E$3="All",'Monthly Activity Log'!B142=$E$3))),'Monthly Activity Log'!C142,"")</f>
        <v/>
      </c>
      <c r="D143" s="74">
        <f>IF(AND(('Monthly Activity Log'!C142&lt;&gt;""),(OR($B$3="All",'Monthly Activity Log'!C142=$B$3)),(OR($E$3="All",'Monthly Activity Log'!B142=$E$3))),'Monthly Activity Log'!D142,"")</f>
        <v/>
      </c>
      <c r="E143" s="74">
        <f>IF(AND(('Monthly Activity Log'!C142&lt;&gt;""),(OR($B$3="All",'Monthly Activity Log'!C142=$B$3)),(OR($E$3="All",'Monthly Activity Log'!B142=$E$3))),'Monthly Activity Log'!E142,"")</f>
        <v/>
      </c>
      <c r="F143" s="74">
        <f>IF(AND(('Monthly Activity Log'!C142&lt;&gt;""),(OR($B$3="All",'Monthly Activity Log'!C142=$B$3)),(OR($E$3="All",'Monthly Activity Log'!B142=$E$3))),'Monthly Activity Log'!F142,"")</f>
        <v/>
      </c>
      <c r="G143" s="74">
        <f>IF(AND(('Monthly Activity Log'!C142&lt;&gt;""),(OR($B$3="All",'Monthly Activity Log'!C142=$B$3)),(OR($E$3="All",'Monthly Activity Log'!B142=$E$3))),'Monthly Activity Log'!G142,"")</f>
        <v/>
      </c>
      <c r="H143" s="74">
        <f>IF(AND(('Monthly Activity Log'!C142&lt;&gt;""),(OR($B$3="All",'Monthly Activity Log'!C142=$B$3)),(OR($E$3="All",'Monthly Activity Log'!B142=$E$3))),'Monthly Activity Log'!H142,"")</f>
        <v/>
      </c>
      <c r="I143" s="74">
        <f>IF(AND(('Monthly Activity Log'!C142&lt;&gt;""),(OR($B$3="All",'Monthly Activity Log'!C142=$B$3)),(OR($E$3="All",'Monthly Activity Log'!B142=$E$3))),'Monthly Activity Log'!I142,"")</f>
        <v/>
      </c>
      <c r="J143" s="74">
        <f>IF(AND(('Monthly Activity Log'!C142&lt;&gt;""),(OR($B$3="All",'Monthly Activity Log'!C142=$B$3)),(OR($E$3="All",'Monthly Activity Log'!B142=$E$3))),'Monthly Activity Log'!J142,"")</f>
        <v/>
      </c>
      <c r="K143" s="74">
        <f>IF(AND(('Monthly Activity Log'!C142&lt;&gt;""),(OR($B$3="All",'Monthly Activity Log'!C142=$B$3)),(OR($E$3="All",'Monthly Activity Log'!B142=$E$3))),'Monthly Activity Log'!K142,"")</f>
        <v/>
      </c>
    </row>
    <row r="144" ht="15.75" customHeight="1" s="65">
      <c r="A144" s="69">
        <f>IF(AND(('Monthly Activity Log'!C143&lt;&gt;""),(OR($B$3="All",'Monthly Activity Log'!C143=$B$3)),(OR($E$3="All",'Monthly Activity Log'!B143=$E$3))),ROW()-4,"")</f>
        <v/>
      </c>
      <c r="B144" s="70">
        <f>IF(AND(('Monthly Activity Log'!C143&lt;&gt;""),(OR($B$3="All",'Monthly Activity Log'!C143=$B$3)),(OR($E$3="All",'Monthly Activity Log'!B143=$E$3))),'Monthly Activity Log'!B143,"")</f>
        <v/>
      </c>
      <c r="C144" s="70">
        <f>IF(AND(('Monthly Activity Log'!C143&lt;&gt;""),(OR($B$3="All",'Monthly Activity Log'!C143=$B$3)),(OR($E$3="All",'Monthly Activity Log'!B143=$E$3))),'Monthly Activity Log'!C143,"")</f>
        <v/>
      </c>
      <c r="D144" s="70">
        <f>IF(AND(('Monthly Activity Log'!C143&lt;&gt;""),(OR($B$3="All",'Monthly Activity Log'!C143=$B$3)),(OR($E$3="All",'Monthly Activity Log'!B143=$E$3))),'Monthly Activity Log'!D143,"")</f>
        <v/>
      </c>
      <c r="E144" s="70">
        <f>IF(AND(('Monthly Activity Log'!C143&lt;&gt;""),(OR($B$3="All",'Monthly Activity Log'!C143=$B$3)),(OR($E$3="All",'Monthly Activity Log'!B143=$E$3))),'Monthly Activity Log'!E143,"")</f>
        <v/>
      </c>
      <c r="F144" s="70">
        <f>IF(AND(('Monthly Activity Log'!C143&lt;&gt;""),(OR($B$3="All",'Monthly Activity Log'!C143=$B$3)),(OR($E$3="All",'Monthly Activity Log'!B143=$E$3))),'Monthly Activity Log'!F143,"")</f>
        <v/>
      </c>
      <c r="G144" s="70">
        <f>IF(AND(('Monthly Activity Log'!C143&lt;&gt;""),(OR($B$3="All",'Monthly Activity Log'!C143=$B$3)),(OR($E$3="All",'Monthly Activity Log'!B143=$E$3))),'Monthly Activity Log'!G143,"")</f>
        <v/>
      </c>
      <c r="H144" s="70">
        <f>IF(AND(('Monthly Activity Log'!C143&lt;&gt;""),(OR($B$3="All",'Monthly Activity Log'!C143=$B$3)),(OR($E$3="All",'Monthly Activity Log'!B143=$E$3))),'Monthly Activity Log'!H143,"")</f>
        <v/>
      </c>
      <c r="I144" s="70">
        <f>IF(AND(('Monthly Activity Log'!C143&lt;&gt;""),(OR($B$3="All",'Monthly Activity Log'!C143=$B$3)),(OR($E$3="All",'Monthly Activity Log'!B143=$E$3))),'Monthly Activity Log'!I143,"")</f>
        <v/>
      </c>
      <c r="J144" s="70">
        <f>IF(AND(('Monthly Activity Log'!C143&lt;&gt;""),(OR($B$3="All",'Monthly Activity Log'!C143=$B$3)),(OR($E$3="All",'Monthly Activity Log'!B143=$E$3))),'Monthly Activity Log'!J143,"")</f>
        <v/>
      </c>
      <c r="K144" s="70">
        <f>IF(AND(('Monthly Activity Log'!C143&lt;&gt;""),(OR($B$3="All",'Monthly Activity Log'!C143=$B$3)),(OR($E$3="All",'Monthly Activity Log'!B143=$E$3))),'Monthly Activity Log'!K143,"")</f>
        <v/>
      </c>
    </row>
    <row r="145" ht="15.75" customHeight="1" s="65">
      <c r="A145" s="73">
        <f>IF(AND(('Monthly Activity Log'!C144&lt;&gt;""),(OR($B$3="All",'Monthly Activity Log'!C144=$B$3)),(OR($E$3="All",'Monthly Activity Log'!B144=$E$3))),ROW()-4,"")</f>
        <v/>
      </c>
      <c r="B145" s="74">
        <f>IF(AND(('Monthly Activity Log'!C144&lt;&gt;""),(OR($B$3="All",'Monthly Activity Log'!C144=$B$3)),(OR($E$3="All",'Monthly Activity Log'!B144=$E$3))),'Monthly Activity Log'!B144,"")</f>
        <v/>
      </c>
      <c r="C145" s="74">
        <f>IF(AND(('Monthly Activity Log'!C144&lt;&gt;""),(OR($B$3="All",'Monthly Activity Log'!C144=$B$3)),(OR($E$3="All",'Monthly Activity Log'!B144=$E$3))),'Monthly Activity Log'!C144,"")</f>
        <v/>
      </c>
      <c r="D145" s="74">
        <f>IF(AND(('Monthly Activity Log'!C144&lt;&gt;""),(OR($B$3="All",'Monthly Activity Log'!C144=$B$3)),(OR($E$3="All",'Monthly Activity Log'!B144=$E$3))),'Monthly Activity Log'!D144,"")</f>
        <v/>
      </c>
      <c r="E145" s="74">
        <f>IF(AND(('Monthly Activity Log'!C144&lt;&gt;""),(OR($B$3="All",'Monthly Activity Log'!C144=$B$3)),(OR($E$3="All",'Monthly Activity Log'!B144=$E$3))),'Monthly Activity Log'!E144,"")</f>
        <v/>
      </c>
      <c r="F145" s="74">
        <f>IF(AND(('Monthly Activity Log'!C144&lt;&gt;""),(OR($B$3="All",'Monthly Activity Log'!C144=$B$3)),(OR($E$3="All",'Monthly Activity Log'!B144=$E$3))),'Monthly Activity Log'!F144,"")</f>
        <v/>
      </c>
      <c r="G145" s="74">
        <f>IF(AND(('Monthly Activity Log'!C144&lt;&gt;""),(OR($B$3="All",'Monthly Activity Log'!C144=$B$3)),(OR($E$3="All",'Monthly Activity Log'!B144=$E$3))),'Monthly Activity Log'!G144,"")</f>
        <v/>
      </c>
      <c r="H145" s="74">
        <f>IF(AND(('Monthly Activity Log'!C144&lt;&gt;""),(OR($B$3="All",'Monthly Activity Log'!C144=$B$3)),(OR($E$3="All",'Monthly Activity Log'!B144=$E$3))),'Monthly Activity Log'!H144,"")</f>
        <v/>
      </c>
      <c r="I145" s="74">
        <f>IF(AND(('Monthly Activity Log'!C144&lt;&gt;""),(OR($B$3="All",'Monthly Activity Log'!C144=$B$3)),(OR($E$3="All",'Monthly Activity Log'!B144=$E$3))),'Monthly Activity Log'!I144,"")</f>
        <v/>
      </c>
      <c r="J145" s="74">
        <f>IF(AND(('Monthly Activity Log'!C144&lt;&gt;""),(OR($B$3="All",'Monthly Activity Log'!C144=$B$3)),(OR($E$3="All",'Monthly Activity Log'!B144=$E$3))),'Monthly Activity Log'!J144,"")</f>
        <v/>
      </c>
      <c r="K145" s="74">
        <f>IF(AND(('Monthly Activity Log'!C144&lt;&gt;""),(OR($B$3="All",'Monthly Activity Log'!C144=$B$3)),(OR($E$3="All",'Monthly Activity Log'!B144=$E$3))),'Monthly Activity Log'!K144,"")</f>
        <v/>
      </c>
    </row>
    <row r="146" ht="15.75" customHeight="1" s="65">
      <c r="A146" s="69">
        <f>IF(AND(('Monthly Activity Log'!C145&lt;&gt;""),(OR($B$3="All",'Monthly Activity Log'!C145=$B$3)),(OR($E$3="All",'Monthly Activity Log'!B145=$E$3))),ROW()-4,"")</f>
        <v/>
      </c>
      <c r="B146" s="70">
        <f>IF(AND(('Monthly Activity Log'!C145&lt;&gt;""),(OR($B$3="All",'Monthly Activity Log'!C145=$B$3)),(OR($E$3="All",'Monthly Activity Log'!B145=$E$3))),'Monthly Activity Log'!B145,"")</f>
        <v/>
      </c>
      <c r="C146" s="70">
        <f>IF(AND(('Monthly Activity Log'!C145&lt;&gt;""),(OR($B$3="All",'Monthly Activity Log'!C145=$B$3)),(OR($E$3="All",'Monthly Activity Log'!B145=$E$3))),'Monthly Activity Log'!C145,"")</f>
        <v/>
      </c>
      <c r="D146" s="70">
        <f>IF(AND(('Monthly Activity Log'!C145&lt;&gt;""),(OR($B$3="All",'Monthly Activity Log'!C145=$B$3)),(OR($E$3="All",'Monthly Activity Log'!B145=$E$3))),'Monthly Activity Log'!D145,"")</f>
        <v/>
      </c>
      <c r="E146" s="70">
        <f>IF(AND(('Monthly Activity Log'!C145&lt;&gt;""),(OR($B$3="All",'Monthly Activity Log'!C145=$B$3)),(OR($E$3="All",'Monthly Activity Log'!B145=$E$3))),'Monthly Activity Log'!E145,"")</f>
        <v/>
      </c>
      <c r="F146" s="70">
        <f>IF(AND(('Monthly Activity Log'!C145&lt;&gt;""),(OR($B$3="All",'Monthly Activity Log'!C145=$B$3)),(OR($E$3="All",'Monthly Activity Log'!B145=$E$3))),'Monthly Activity Log'!F145,"")</f>
        <v/>
      </c>
      <c r="G146" s="70">
        <f>IF(AND(('Monthly Activity Log'!C145&lt;&gt;""),(OR($B$3="All",'Monthly Activity Log'!C145=$B$3)),(OR($E$3="All",'Monthly Activity Log'!B145=$E$3))),'Monthly Activity Log'!G145,"")</f>
        <v/>
      </c>
      <c r="H146" s="70">
        <f>IF(AND(('Monthly Activity Log'!C145&lt;&gt;""),(OR($B$3="All",'Monthly Activity Log'!C145=$B$3)),(OR($E$3="All",'Monthly Activity Log'!B145=$E$3))),'Monthly Activity Log'!H145,"")</f>
        <v/>
      </c>
      <c r="I146" s="70">
        <f>IF(AND(('Monthly Activity Log'!C145&lt;&gt;""),(OR($B$3="All",'Monthly Activity Log'!C145=$B$3)),(OR($E$3="All",'Monthly Activity Log'!B145=$E$3))),'Monthly Activity Log'!I145,"")</f>
        <v/>
      </c>
      <c r="J146" s="70">
        <f>IF(AND(('Monthly Activity Log'!C145&lt;&gt;""),(OR($B$3="All",'Monthly Activity Log'!C145=$B$3)),(OR($E$3="All",'Monthly Activity Log'!B145=$E$3))),'Monthly Activity Log'!J145,"")</f>
        <v/>
      </c>
      <c r="K146" s="70">
        <f>IF(AND(('Monthly Activity Log'!C145&lt;&gt;""),(OR($B$3="All",'Monthly Activity Log'!C145=$B$3)),(OR($E$3="All",'Monthly Activity Log'!B145=$E$3))),'Monthly Activity Log'!K145,"")</f>
        <v/>
      </c>
    </row>
    <row r="147" ht="15.75" customHeight="1" s="65">
      <c r="A147" s="73">
        <f>IF(AND(('Monthly Activity Log'!C146&lt;&gt;""),(OR($B$3="All",'Monthly Activity Log'!C146=$B$3)),(OR($E$3="All",'Monthly Activity Log'!B146=$E$3))),ROW()-4,"")</f>
        <v/>
      </c>
      <c r="B147" s="74">
        <f>IF(AND(('Monthly Activity Log'!C146&lt;&gt;""),(OR($B$3="All",'Monthly Activity Log'!C146=$B$3)),(OR($E$3="All",'Monthly Activity Log'!B146=$E$3))),'Monthly Activity Log'!B146,"")</f>
        <v/>
      </c>
      <c r="C147" s="74">
        <f>IF(AND(('Monthly Activity Log'!C146&lt;&gt;""),(OR($B$3="All",'Monthly Activity Log'!C146=$B$3)),(OR($E$3="All",'Monthly Activity Log'!B146=$E$3))),'Monthly Activity Log'!C146,"")</f>
        <v/>
      </c>
      <c r="D147" s="74">
        <f>IF(AND(('Monthly Activity Log'!C146&lt;&gt;""),(OR($B$3="All",'Monthly Activity Log'!C146=$B$3)),(OR($E$3="All",'Monthly Activity Log'!B146=$E$3))),'Monthly Activity Log'!D146,"")</f>
        <v/>
      </c>
      <c r="E147" s="74">
        <f>IF(AND(('Monthly Activity Log'!C146&lt;&gt;""),(OR($B$3="All",'Monthly Activity Log'!C146=$B$3)),(OR($E$3="All",'Monthly Activity Log'!B146=$E$3))),'Monthly Activity Log'!E146,"")</f>
        <v/>
      </c>
      <c r="F147" s="74">
        <f>IF(AND(('Monthly Activity Log'!C146&lt;&gt;""),(OR($B$3="All",'Monthly Activity Log'!C146=$B$3)),(OR($E$3="All",'Monthly Activity Log'!B146=$E$3))),'Monthly Activity Log'!F146,"")</f>
        <v/>
      </c>
      <c r="G147" s="74">
        <f>IF(AND(('Monthly Activity Log'!C146&lt;&gt;""),(OR($B$3="All",'Monthly Activity Log'!C146=$B$3)),(OR($E$3="All",'Monthly Activity Log'!B146=$E$3))),'Monthly Activity Log'!G146,"")</f>
        <v/>
      </c>
      <c r="H147" s="74">
        <f>IF(AND(('Monthly Activity Log'!C146&lt;&gt;""),(OR($B$3="All",'Monthly Activity Log'!C146=$B$3)),(OR($E$3="All",'Monthly Activity Log'!B146=$E$3))),'Monthly Activity Log'!H146,"")</f>
        <v/>
      </c>
      <c r="I147" s="74">
        <f>IF(AND(('Monthly Activity Log'!C146&lt;&gt;""),(OR($B$3="All",'Monthly Activity Log'!C146=$B$3)),(OR($E$3="All",'Monthly Activity Log'!B146=$E$3))),'Monthly Activity Log'!I146,"")</f>
        <v/>
      </c>
      <c r="J147" s="74">
        <f>IF(AND(('Monthly Activity Log'!C146&lt;&gt;""),(OR($B$3="All",'Monthly Activity Log'!C146=$B$3)),(OR($E$3="All",'Monthly Activity Log'!B146=$E$3))),'Monthly Activity Log'!J146,"")</f>
        <v/>
      </c>
      <c r="K147" s="74">
        <f>IF(AND(('Monthly Activity Log'!C146&lt;&gt;""),(OR($B$3="All",'Monthly Activity Log'!C146=$B$3)),(OR($E$3="All",'Monthly Activity Log'!B146=$E$3))),'Monthly Activity Log'!K146,"")</f>
        <v/>
      </c>
    </row>
    <row r="148" ht="15.75" customHeight="1" s="65">
      <c r="A148" s="69">
        <f>IF(AND(('Monthly Activity Log'!C147&lt;&gt;""),(OR($B$3="All",'Monthly Activity Log'!C147=$B$3)),(OR($E$3="All",'Monthly Activity Log'!B147=$E$3))),ROW()-4,"")</f>
        <v/>
      </c>
      <c r="B148" s="70">
        <f>IF(AND(('Monthly Activity Log'!C147&lt;&gt;""),(OR($B$3="All",'Monthly Activity Log'!C147=$B$3)),(OR($E$3="All",'Monthly Activity Log'!B147=$E$3))),'Monthly Activity Log'!B147,"")</f>
        <v/>
      </c>
      <c r="C148" s="70">
        <f>IF(AND(('Monthly Activity Log'!C147&lt;&gt;""),(OR($B$3="All",'Monthly Activity Log'!C147=$B$3)),(OR($E$3="All",'Monthly Activity Log'!B147=$E$3))),'Monthly Activity Log'!C147,"")</f>
        <v/>
      </c>
      <c r="D148" s="70">
        <f>IF(AND(('Monthly Activity Log'!C147&lt;&gt;""),(OR($B$3="All",'Monthly Activity Log'!C147=$B$3)),(OR($E$3="All",'Monthly Activity Log'!B147=$E$3))),'Monthly Activity Log'!D147,"")</f>
        <v/>
      </c>
      <c r="E148" s="70">
        <f>IF(AND(('Monthly Activity Log'!C147&lt;&gt;""),(OR($B$3="All",'Monthly Activity Log'!C147=$B$3)),(OR($E$3="All",'Monthly Activity Log'!B147=$E$3))),'Monthly Activity Log'!E147,"")</f>
        <v/>
      </c>
      <c r="F148" s="70">
        <f>IF(AND(('Monthly Activity Log'!C147&lt;&gt;""),(OR($B$3="All",'Monthly Activity Log'!C147=$B$3)),(OR($E$3="All",'Monthly Activity Log'!B147=$E$3))),'Monthly Activity Log'!F147,"")</f>
        <v/>
      </c>
      <c r="G148" s="70">
        <f>IF(AND(('Monthly Activity Log'!C147&lt;&gt;""),(OR($B$3="All",'Monthly Activity Log'!C147=$B$3)),(OR($E$3="All",'Monthly Activity Log'!B147=$E$3))),'Monthly Activity Log'!G147,"")</f>
        <v/>
      </c>
      <c r="H148" s="70">
        <f>IF(AND(('Monthly Activity Log'!C147&lt;&gt;""),(OR($B$3="All",'Monthly Activity Log'!C147=$B$3)),(OR($E$3="All",'Monthly Activity Log'!B147=$E$3))),'Monthly Activity Log'!H147,"")</f>
        <v/>
      </c>
      <c r="I148" s="70">
        <f>IF(AND(('Monthly Activity Log'!C147&lt;&gt;""),(OR($B$3="All",'Monthly Activity Log'!C147=$B$3)),(OR($E$3="All",'Monthly Activity Log'!B147=$E$3))),'Monthly Activity Log'!I147,"")</f>
        <v/>
      </c>
      <c r="J148" s="70">
        <f>IF(AND(('Monthly Activity Log'!C147&lt;&gt;""),(OR($B$3="All",'Monthly Activity Log'!C147=$B$3)),(OR($E$3="All",'Monthly Activity Log'!B147=$E$3))),'Monthly Activity Log'!J147,"")</f>
        <v/>
      </c>
      <c r="K148" s="70">
        <f>IF(AND(('Monthly Activity Log'!C147&lt;&gt;""),(OR($B$3="All",'Monthly Activity Log'!C147=$B$3)),(OR($E$3="All",'Monthly Activity Log'!B147=$E$3))),'Monthly Activity Log'!K147,"")</f>
        <v/>
      </c>
    </row>
    <row r="149" ht="15.75" customHeight="1" s="65">
      <c r="A149" s="73">
        <f>IF(AND(('Monthly Activity Log'!C148&lt;&gt;""),(OR($B$3="All",'Monthly Activity Log'!C148=$B$3)),(OR($E$3="All",'Monthly Activity Log'!B148=$E$3))),ROW()-4,"")</f>
        <v/>
      </c>
      <c r="B149" s="74">
        <f>IF(AND(('Monthly Activity Log'!C148&lt;&gt;""),(OR($B$3="All",'Monthly Activity Log'!C148=$B$3)),(OR($E$3="All",'Monthly Activity Log'!B148=$E$3))),'Monthly Activity Log'!B148,"")</f>
        <v/>
      </c>
      <c r="C149" s="74">
        <f>IF(AND(('Monthly Activity Log'!C148&lt;&gt;""),(OR($B$3="All",'Monthly Activity Log'!C148=$B$3)),(OR($E$3="All",'Monthly Activity Log'!B148=$E$3))),'Monthly Activity Log'!C148,"")</f>
        <v/>
      </c>
      <c r="D149" s="74">
        <f>IF(AND(('Monthly Activity Log'!C148&lt;&gt;""),(OR($B$3="All",'Monthly Activity Log'!C148=$B$3)),(OR($E$3="All",'Monthly Activity Log'!B148=$E$3))),'Monthly Activity Log'!D148,"")</f>
        <v/>
      </c>
      <c r="E149" s="74">
        <f>IF(AND(('Monthly Activity Log'!C148&lt;&gt;""),(OR($B$3="All",'Monthly Activity Log'!C148=$B$3)),(OR($E$3="All",'Monthly Activity Log'!B148=$E$3))),'Monthly Activity Log'!E148,"")</f>
        <v/>
      </c>
      <c r="F149" s="74">
        <f>IF(AND(('Monthly Activity Log'!C148&lt;&gt;""),(OR($B$3="All",'Monthly Activity Log'!C148=$B$3)),(OR($E$3="All",'Monthly Activity Log'!B148=$E$3))),'Monthly Activity Log'!F148,"")</f>
        <v/>
      </c>
      <c r="G149" s="74">
        <f>IF(AND(('Monthly Activity Log'!C148&lt;&gt;""),(OR($B$3="All",'Monthly Activity Log'!C148=$B$3)),(OR($E$3="All",'Monthly Activity Log'!B148=$E$3))),'Monthly Activity Log'!G148,"")</f>
        <v/>
      </c>
      <c r="H149" s="74">
        <f>IF(AND(('Monthly Activity Log'!C148&lt;&gt;""),(OR($B$3="All",'Monthly Activity Log'!C148=$B$3)),(OR($E$3="All",'Monthly Activity Log'!B148=$E$3))),'Monthly Activity Log'!H148,"")</f>
        <v/>
      </c>
      <c r="I149" s="74">
        <f>IF(AND(('Monthly Activity Log'!C148&lt;&gt;""),(OR($B$3="All",'Monthly Activity Log'!C148=$B$3)),(OR($E$3="All",'Monthly Activity Log'!B148=$E$3))),'Monthly Activity Log'!I148,"")</f>
        <v/>
      </c>
      <c r="J149" s="74">
        <f>IF(AND(('Monthly Activity Log'!C148&lt;&gt;""),(OR($B$3="All",'Monthly Activity Log'!C148=$B$3)),(OR($E$3="All",'Monthly Activity Log'!B148=$E$3))),'Monthly Activity Log'!J148,"")</f>
        <v/>
      </c>
      <c r="K149" s="74">
        <f>IF(AND(('Monthly Activity Log'!C148&lt;&gt;""),(OR($B$3="All",'Monthly Activity Log'!C148=$B$3)),(OR($E$3="All",'Monthly Activity Log'!B148=$E$3))),'Monthly Activity Log'!K148,"")</f>
        <v/>
      </c>
    </row>
    <row r="150" ht="15.75" customHeight="1" s="65">
      <c r="A150" s="69">
        <f>IF(AND(('Monthly Activity Log'!C149&lt;&gt;""),(OR($B$3="All",'Monthly Activity Log'!C149=$B$3)),(OR($E$3="All",'Monthly Activity Log'!B149=$E$3))),ROW()-4,"")</f>
        <v/>
      </c>
      <c r="B150" s="70">
        <f>IF(AND(('Monthly Activity Log'!C149&lt;&gt;""),(OR($B$3="All",'Monthly Activity Log'!C149=$B$3)),(OR($E$3="All",'Monthly Activity Log'!B149=$E$3))),'Monthly Activity Log'!B149,"")</f>
        <v/>
      </c>
      <c r="C150" s="70">
        <f>IF(AND(('Monthly Activity Log'!C149&lt;&gt;""),(OR($B$3="All",'Monthly Activity Log'!C149=$B$3)),(OR($E$3="All",'Monthly Activity Log'!B149=$E$3))),'Monthly Activity Log'!C149,"")</f>
        <v/>
      </c>
      <c r="D150" s="70">
        <f>IF(AND(('Monthly Activity Log'!C149&lt;&gt;""),(OR($B$3="All",'Monthly Activity Log'!C149=$B$3)),(OR($E$3="All",'Monthly Activity Log'!B149=$E$3))),'Monthly Activity Log'!D149,"")</f>
        <v/>
      </c>
      <c r="E150" s="70">
        <f>IF(AND(('Monthly Activity Log'!C149&lt;&gt;""),(OR($B$3="All",'Monthly Activity Log'!C149=$B$3)),(OR($E$3="All",'Monthly Activity Log'!B149=$E$3))),'Monthly Activity Log'!E149,"")</f>
        <v/>
      </c>
      <c r="F150" s="70">
        <f>IF(AND(('Monthly Activity Log'!C149&lt;&gt;""),(OR($B$3="All",'Monthly Activity Log'!C149=$B$3)),(OR($E$3="All",'Monthly Activity Log'!B149=$E$3))),'Monthly Activity Log'!F149,"")</f>
        <v/>
      </c>
      <c r="G150" s="70">
        <f>IF(AND(('Monthly Activity Log'!C149&lt;&gt;""),(OR($B$3="All",'Monthly Activity Log'!C149=$B$3)),(OR($E$3="All",'Monthly Activity Log'!B149=$E$3))),'Monthly Activity Log'!G149,"")</f>
        <v/>
      </c>
      <c r="H150" s="70">
        <f>IF(AND(('Monthly Activity Log'!C149&lt;&gt;""),(OR($B$3="All",'Monthly Activity Log'!C149=$B$3)),(OR($E$3="All",'Monthly Activity Log'!B149=$E$3))),'Monthly Activity Log'!H149,"")</f>
        <v/>
      </c>
      <c r="I150" s="70">
        <f>IF(AND(('Monthly Activity Log'!C149&lt;&gt;""),(OR($B$3="All",'Monthly Activity Log'!C149=$B$3)),(OR($E$3="All",'Monthly Activity Log'!B149=$E$3))),'Monthly Activity Log'!I149,"")</f>
        <v/>
      </c>
      <c r="J150" s="70">
        <f>IF(AND(('Monthly Activity Log'!C149&lt;&gt;""),(OR($B$3="All",'Monthly Activity Log'!C149=$B$3)),(OR($E$3="All",'Monthly Activity Log'!B149=$E$3))),'Monthly Activity Log'!J149,"")</f>
        <v/>
      </c>
      <c r="K150" s="70">
        <f>IF(AND(('Monthly Activity Log'!C149&lt;&gt;""),(OR($B$3="All",'Monthly Activity Log'!C149=$B$3)),(OR($E$3="All",'Monthly Activity Log'!B149=$E$3))),'Monthly Activity Log'!K149,"")</f>
        <v/>
      </c>
    </row>
    <row r="151" ht="15.75" customHeight="1" s="65">
      <c r="A151" s="73">
        <f>IF(AND(('Monthly Activity Log'!C150&lt;&gt;""),(OR($B$3="All",'Monthly Activity Log'!C150=$B$3)),(OR($E$3="All",'Monthly Activity Log'!B150=$E$3))),ROW()-4,"")</f>
        <v/>
      </c>
      <c r="B151" s="74">
        <f>IF(AND(('Monthly Activity Log'!C150&lt;&gt;""),(OR($B$3="All",'Monthly Activity Log'!C150=$B$3)),(OR($E$3="All",'Monthly Activity Log'!B150=$E$3))),'Monthly Activity Log'!B150,"")</f>
        <v/>
      </c>
      <c r="C151" s="74">
        <f>IF(AND(('Monthly Activity Log'!C150&lt;&gt;""),(OR($B$3="All",'Monthly Activity Log'!C150=$B$3)),(OR($E$3="All",'Monthly Activity Log'!B150=$E$3))),'Monthly Activity Log'!C150,"")</f>
        <v/>
      </c>
      <c r="D151" s="74">
        <f>IF(AND(('Monthly Activity Log'!C150&lt;&gt;""),(OR($B$3="All",'Monthly Activity Log'!C150=$B$3)),(OR($E$3="All",'Monthly Activity Log'!B150=$E$3))),'Monthly Activity Log'!D150,"")</f>
        <v/>
      </c>
      <c r="E151" s="74">
        <f>IF(AND(('Monthly Activity Log'!C150&lt;&gt;""),(OR($B$3="All",'Monthly Activity Log'!C150=$B$3)),(OR($E$3="All",'Monthly Activity Log'!B150=$E$3))),'Monthly Activity Log'!E150,"")</f>
        <v/>
      </c>
      <c r="F151" s="74">
        <f>IF(AND(('Monthly Activity Log'!C150&lt;&gt;""),(OR($B$3="All",'Monthly Activity Log'!C150=$B$3)),(OR($E$3="All",'Monthly Activity Log'!B150=$E$3))),'Monthly Activity Log'!F150,"")</f>
        <v/>
      </c>
      <c r="G151" s="74">
        <f>IF(AND(('Monthly Activity Log'!C150&lt;&gt;""),(OR($B$3="All",'Monthly Activity Log'!C150=$B$3)),(OR($E$3="All",'Monthly Activity Log'!B150=$E$3))),'Monthly Activity Log'!G150,"")</f>
        <v/>
      </c>
      <c r="H151" s="74">
        <f>IF(AND(('Monthly Activity Log'!C150&lt;&gt;""),(OR($B$3="All",'Monthly Activity Log'!C150=$B$3)),(OR($E$3="All",'Monthly Activity Log'!B150=$E$3))),'Monthly Activity Log'!H150,"")</f>
        <v/>
      </c>
      <c r="I151" s="74">
        <f>IF(AND(('Monthly Activity Log'!C150&lt;&gt;""),(OR($B$3="All",'Monthly Activity Log'!C150=$B$3)),(OR($E$3="All",'Monthly Activity Log'!B150=$E$3))),'Monthly Activity Log'!I150,"")</f>
        <v/>
      </c>
      <c r="J151" s="74">
        <f>IF(AND(('Monthly Activity Log'!C150&lt;&gt;""),(OR($B$3="All",'Monthly Activity Log'!C150=$B$3)),(OR($E$3="All",'Monthly Activity Log'!B150=$E$3))),'Monthly Activity Log'!J150,"")</f>
        <v/>
      </c>
      <c r="K151" s="74">
        <f>IF(AND(('Monthly Activity Log'!C150&lt;&gt;""),(OR($B$3="All",'Monthly Activity Log'!C150=$B$3)),(OR($E$3="All",'Monthly Activity Log'!B150=$E$3))),'Monthly Activity Log'!K150,"")</f>
        <v/>
      </c>
    </row>
    <row r="152" ht="15.75" customHeight="1" s="65">
      <c r="A152" s="69">
        <f>IF(AND(('Monthly Activity Log'!C151&lt;&gt;""),(OR($B$3="All",'Monthly Activity Log'!C151=$B$3)),(OR($E$3="All",'Monthly Activity Log'!B151=$E$3))),ROW()-4,"")</f>
        <v/>
      </c>
      <c r="B152" s="70">
        <f>IF(AND(('Monthly Activity Log'!C151&lt;&gt;""),(OR($B$3="All",'Monthly Activity Log'!C151=$B$3)),(OR($E$3="All",'Monthly Activity Log'!B151=$E$3))),'Monthly Activity Log'!B151,"")</f>
        <v/>
      </c>
      <c r="C152" s="70">
        <f>IF(AND(('Monthly Activity Log'!C151&lt;&gt;""),(OR($B$3="All",'Monthly Activity Log'!C151=$B$3)),(OR($E$3="All",'Monthly Activity Log'!B151=$E$3))),'Monthly Activity Log'!C151,"")</f>
        <v/>
      </c>
      <c r="D152" s="70">
        <f>IF(AND(('Monthly Activity Log'!C151&lt;&gt;""),(OR($B$3="All",'Monthly Activity Log'!C151=$B$3)),(OR($E$3="All",'Monthly Activity Log'!B151=$E$3))),'Monthly Activity Log'!D151,"")</f>
        <v/>
      </c>
      <c r="E152" s="70">
        <f>IF(AND(('Monthly Activity Log'!C151&lt;&gt;""),(OR($B$3="All",'Monthly Activity Log'!C151=$B$3)),(OR($E$3="All",'Monthly Activity Log'!B151=$E$3))),'Monthly Activity Log'!E151,"")</f>
        <v/>
      </c>
      <c r="F152" s="70">
        <f>IF(AND(('Monthly Activity Log'!C151&lt;&gt;""),(OR($B$3="All",'Monthly Activity Log'!C151=$B$3)),(OR($E$3="All",'Monthly Activity Log'!B151=$E$3))),'Monthly Activity Log'!F151,"")</f>
        <v/>
      </c>
      <c r="G152" s="70">
        <f>IF(AND(('Monthly Activity Log'!C151&lt;&gt;""),(OR($B$3="All",'Monthly Activity Log'!C151=$B$3)),(OR($E$3="All",'Monthly Activity Log'!B151=$E$3))),'Monthly Activity Log'!G151,"")</f>
        <v/>
      </c>
      <c r="H152" s="70">
        <f>IF(AND(('Monthly Activity Log'!C151&lt;&gt;""),(OR($B$3="All",'Monthly Activity Log'!C151=$B$3)),(OR($E$3="All",'Monthly Activity Log'!B151=$E$3))),'Monthly Activity Log'!H151,"")</f>
        <v/>
      </c>
      <c r="I152" s="70">
        <f>IF(AND(('Monthly Activity Log'!C151&lt;&gt;""),(OR($B$3="All",'Monthly Activity Log'!C151=$B$3)),(OR($E$3="All",'Monthly Activity Log'!B151=$E$3))),'Monthly Activity Log'!I151,"")</f>
        <v/>
      </c>
      <c r="J152" s="70">
        <f>IF(AND(('Monthly Activity Log'!C151&lt;&gt;""),(OR($B$3="All",'Monthly Activity Log'!C151=$B$3)),(OR($E$3="All",'Monthly Activity Log'!B151=$E$3))),'Monthly Activity Log'!J151,"")</f>
        <v/>
      </c>
      <c r="K152" s="70">
        <f>IF(AND(('Monthly Activity Log'!C151&lt;&gt;""),(OR($B$3="All",'Monthly Activity Log'!C151=$B$3)),(OR($E$3="All",'Monthly Activity Log'!B151=$E$3))),'Monthly Activity Log'!K151,"")</f>
        <v/>
      </c>
    </row>
    <row r="153" ht="15.75" customHeight="1" s="65">
      <c r="A153" s="73">
        <f>IF(AND(('Monthly Activity Log'!C152&lt;&gt;""),(OR($B$3="All",'Monthly Activity Log'!C152=$B$3)),(OR($E$3="All",'Monthly Activity Log'!B152=$E$3))),ROW()-4,"")</f>
        <v/>
      </c>
      <c r="B153" s="74">
        <f>IF(AND(('Monthly Activity Log'!C152&lt;&gt;""),(OR($B$3="All",'Monthly Activity Log'!C152=$B$3)),(OR($E$3="All",'Monthly Activity Log'!B152=$E$3))),'Monthly Activity Log'!B152,"")</f>
        <v/>
      </c>
      <c r="C153" s="74">
        <f>IF(AND(('Monthly Activity Log'!C152&lt;&gt;""),(OR($B$3="All",'Monthly Activity Log'!C152=$B$3)),(OR($E$3="All",'Monthly Activity Log'!B152=$E$3))),'Monthly Activity Log'!C152,"")</f>
        <v/>
      </c>
      <c r="D153" s="74">
        <f>IF(AND(('Monthly Activity Log'!C152&lt;&gt;""),(OR($B$3="All",'Monthly Activity Log'!C152=$B$3)),(OR($E$3="All",'Monthly Activity Log'!B152=$E$3))),'Monthly Activity Log'!D152,"")</f>
        <v/>
      </c>
      <c r="E153" s="74">
        <f>IF(AND(('Monthly Activity Log'!C152&lt;&gt;""),(OR($B$3="All",'Monthly Activity Log'!C152=$B$3)),(OR($E$3="All",'Monthly Activity Log'!B152=$E$3))),'Monthly Activity Log'!E152,"")</f>
        <v/>
      </c>
      <c r="F153" s="74">
        <f>IF(AND(('Monthly Activity Log'!C152&lt;&gt;""),(OR($B$3="All",'Monthly Activity Log'!C152=$B$3)),(OR($E$3="All",'Monthly Activity Log'!B152=$E$3))),'Monthly Activity Log'!F152,"")</f>
        <v/>
      </c>
      <c r="G153" s="74">
        <f>IF(AND(('Monthly Activity Log'!C152&lt;&gt;""),(OR($B$3="All",'Monthly Activity Log'!C152=$B$3)),(OR($E$3="All",'Monthly Activity Log'!B152=$E$3))),'Monthly Activity Log'!G152,"")</f>
        <v/>
      </c>
      <c r="H153" s="74">
        <f>IF(AND(('Monthly Activity Log'!C152&lt;&gt;""),(OR($B$3="All",'Monthly Activity Log'!C152=$B$3)),(OR($E$3="All",'Monthly Activity Log'!B152=$E$3))),'Monthly Activity Log'!H152,"")</f>
        <v/>
      </c>
      <c r="I153" s="74">
        <f>IF(AND(('Monthly Activity Log'!C152&lt;&gt;""),(OR($B$3="All",'Monthly Activity Log'!C152=$B$3)),(OR($E$3="All",'Monthly Activity Log'!B152=$E$3))),'Monthly Activity Log'!I152,"")</f>
        <v/>
      </c>
      <c r="J153" s="74">
        <f>IF(AND(('Monthly Activity Log'!C152&lt;&gt;""),(OR($B$3="All",'Monthly Activity Log'!C152=$B$3)),(OR($E$3="All",'Monthly Activity Log'!B152=$E$3))),'Monthly Activity Log'!J152,"")</f>
        <v/>
      </c>
      <c r="K153" s="74">
        <f>IF(AND(('Monthly Activity Log'!C152&lt;&gt;""),(OR($B$3="All",'Monthly Activity Log'!C152=$B$3)),(OR($E$3="All",'Monthly Activity Log'!B152=$E$3))),'Monthly Activity Log'!K152,"")</f>
        <v/>
      </c>
    </row>
    <row r="154" ht="15.75" customHeight="1" s="65">
      <c r="A154" s="69">
        <f>IF(AND(('Monthly Activity Log'!C153&lt;&gt;""),(OR($B$3="All",'Monthly Activity Log'!C153=$B$3)),(OR($E$3="All",'Monthly Activity Log'!B153=$E$3))),ROW()-4,"")</f>
        <v/>
      </c>
      <c r="B154" s="70">
        <f>IF(AND(('Monthly Activity Log'!C153&lt;&gt;""),(OR($B$3="All",'Monthly Activity Log'!C153=$B$3)),(OR($E$3="All",'Monthly Activity Log'!B153=$E$3))),'Monthly Activity Log'!B153,"")</f>
        <v/>
      </c>
      <c r="C154" s="70">
        <f>IF(AND(('Monthly Activity Log'!C153&lt;&gt;""),(OR($B$3="All",'Monthly Activity Log'!C153=$B$3)),(OR($E$3="All",'Monthly Activity Log'!B153=$E$3))),'Monthly Activity Log'!C153,"")</f>
        <v/>
      </c>
      <c r="D154" s="70">
        <f>IF(AND(('Monthly Activity Log'!C153&lt;&gt;""),(OR($B$3="All",'Monthly Activity Log'!C153=$B$3)),(OR($E$3="All",'Monthly Activity Log'!B153=$E$3))),'Monthly Activity Log'!D153,"")</f>
        <v/>
      </c>
      <c r="E154" s="70">
        <f>IF(AND(('Monthly Activity Log'!C153&lt;&gt;""),(OR($B$3="All",'Monthly Activity Log'!C153=$B$3)),(OR($E$3="All",'Monthly Activity Log'!B153=$E$3))),'Monthly Activity Log'!E153,"")</f>
        <v/>
      </c>
      <c r="F154" s="70">
        <f>IF(AND(('Monthly Activity Log'!C153&lt;&gt;""),(OR($B$3="All",'Monthly Activity Log'!C153=$B$3)),(OR($E$3="All",'Monthly Activity Log'!B153=$E$3))),'Monthly Activity Log'!F153,"")</f>
        <v/>
      </c>
      <c r="G154" s="70">
        <f>IF(AND(('Monthly Activity Log'!C153&lt;&gt;""),(OR($B$3="All",'Monthly Activity Log'!C153=$B$3)),(OR($E$3="All",'Monthly Activity Log'!B153=$E$3))),'Monthly Activity Log'!G153,"")</f>
        <v/>
      </c>
      <c r="H154" s="70">
        <f>IF(AND(('Monthly Activity Log'!C153&lt;&gt;""),(OR($B$3="All",'Monthly Activity Log'!C153=$B$3)),(OR($E$3="All",'Monthly Activity Log'!B153=$E$3))),'Monthly Activity Log'!H153,"")</f>
        <v/>
      </c>
      <c r="I154" s="70">
        <f>IF(AND(('Monthly Activity Log'!C153&lt;&gt;""),(OR($B$3="All",'Monthly Activity Log'!C153=$B$3)),(OR($E$3="All",'Monthly Activity Log'!B153=$E$3))),'Monthly Activity Log'!I153,"")</f>
        <v/>
      </c>
      <c r="J154" s="70">
        <f>IF(AND(('Monthly Activity Log'!C153&lt;&gt;""),(OR($B$3="All",'Monthly Activity Log'!C153=$B$3)),(OR($E$3="All",'Monthly Activity Log'!B153=$E$3))),'Monthly Activity Log'!J153,"")</f>
        <v/>
      </c>
      <c r="K154" s="70">
        <f>IF(AND(('Monthly Activity Log'!C153&lt;&gt;""),(OR($B$3="All",'Monthly Activity Log'!C153=$B$3)),(OR($E$3="All",'Monthly Activity Log'!B153=$E$3))),'Monthly Activity Log'!K153,"")</f>
        <v/>
      </c>
    </row>
    <row r="155" ht="15.75" customHeight="1" s="65">
      <c r="A155" s="73">
        <f>IF(AND(('Monthly Activity Log'!C154&lt;&gt;""),(OR($B$3="All",'Monthly Activity Log'!C154=$B$3)),(OR($E$3="All",'Monthly Activity Log'!B154=$E$3))),ROW()-4,"")</f>
        <v/>
      </c>
      <c r="B155" s="74">
        <f>IF(AND(('Monthly Activity Log'!C154&lt;&gt;""),(OR($B$3="All",'Monthly Activity Log'!C154=$B$3)),(OR($E$3="All",'Monthly Activity Log'!B154=$E$3))),'Monthly Activity Log'!B154,"")</f>
        <v/>
      </c>
      <c r="C155" s="74">
        <f>IF(AND(('Monthly Activity Log'!C154&lt;&gt;""),(OR($B$3="All",'Monthly Activity Log'!C154=$B$3)),(OR($E$3="All",'Monthly Activity Log'!B154=$E$3))),'Monthly Activity Log'!C154,"")</f>
        <v/>
      </c>
      <c r="D155" s="74">
        <f>IF(AND(('Monthly Activity Log'!C154&lt;&gt;""),(OR($B$3="All",'Monthly Activity Log'!C154=$B$3)),(OR($E$3="All",'Monthly Activity Log'!B154=$E$3))),'Monthly Activity Log'!D154,"")</f>
        <v/>
      </c>
      <c r="E155" s="74">
        <f>IF(AND(('Monthly Activity Log'!C154&lt;&gt;""),(OR($B$3="All",'Monthly Activity Log'!C154=$B$3)),(OR($E$3="All",'Monthly Activity Log'!B154=$E$3))),'Monthly Activity Log'!E154,"")</f>
        <v/>
      </c>
      <c r="F155" s="74">
        <f>IF(AND(('Monthly Activity Log'!C154&lt;&gt;""),(OR($B$3="All",'Monthly Activity Log'!C154=$B$3)),(OR($E$3="All",'Monthly Activity Log'!B154=$E$3))),'Monthly Activity Log'!F154,"")</f>
        <v/>
      </c>
      <c r="G155" s="74">
        <f>IF(AND(('Monthly Activity Log'!C154&lt;&gt;""),(OR($B$3="All",'Monthly Activity Log'!C154=$B$3)),(OR($E$3="All",'Monthly Activity Log'!B154=$E$3))),'Monthly Activity Log'!G154,"")</f>
        <v/>
      </c>
      <c r="H155" s="74">
        <f>IF(AND(('Monthly Activity Log'!C154&lt;&gt;""),(OR($B$3="All",'Monthly Activity Log'!C154=$B$3)),(OR($E$3="All",'Monthly Activity Log'!B154=$E$3))),'Monthly Activity Log'!H154,"")</f>
        <v/>
      </c>
      <c r="I155" s="74">
        <f>IF(AND(('Monthly Activity Log'!C154&lt;&gt;""),(OR($B$3="All",'Monthly Activity Log'!C154=$B$3)),(OR($E$3="All",'Monthly Activity Log'!B154=$E$3))),'Monthly Activity Log'!I154,"")</f>
        <v/>
      </c>
      <c r="J155" s="74">
        <f>IF(AND(('Monthly Activity Log'!C154&lt;&gt;""),(OR($B$3="All",'Monthly Activity Log'!C154=$B$3)),(OR($E$3="All",'Monthly Activity Log'!B154=$E$3))),'Monthly Activity Log'!J154,"")</f>
        <v/>
      </c>
      <c r="K155" s="74">
        <f>IF(AND(('Monthly Activity Log'!C154&lt;&gt;""),(OR($B$3="All",'Monthly Activity Log'!C154=$B$3)),(OR($E$3="All",'Monthly Activity Log'!B154=$E$3))),'Monthly Activity Log'!K154,"")</f>
        <v/>
      </c>
    </row>
    <row r="156" ht="15.75" customHeight="1" s="65">
      <c r="A156" s="69">
        <f>IF(AND(('Monthly Activity Log'!C155&lt;&gt;""),(OR($B$3="All",'Monthly Activity Log'!C155=$B$3)),(OR($E$3="All",'Monthly Activity Log'!B155=$E$3))),ROW()-4,"")</f>
        <v/>
      </c>
      <c r="B156" s="70">
        <f>IF(AND(('Monthly Activity Log'!C155&lt;&gt;""),(OR($B$3="All",'Monthly Activity Log'!C155=$B$3)),(OR($E$3="All",'Monthly Activity Log'!B155=$E$3))),'Monthly Activity Log'!B155,"")</f>
        <v/>
      </c>
      <c r="C156" s="70">
        <f>IF(AND(('Monthly Activity Log'!C155&lt;&gt;""),(OR($B$3="All",'Monthly Activity Log'!C155=$B$3)),(OR($E$3="All",'Monthly Activity Log'!B155=$E$3))),'Monthly Activity Log'!C155,"")</f>
        <v/>
      </c>
      <c r="D156" s="70">
        <f>IF(AND(('Monthly Activity Log'!C155&lt;&gt;""),(OR($B$3="All",'Monthly Activity Log'!C155=$B$3)),(OR($E$3="All",'Monthly Activity Log'!B155=$E$3))),'Monthly Activity Log'!D155,"")</f>
        <v/>
      </c>
      <c r="E156" s="70">
        <f>IF(AND(('Monthly Activity Log'!C155&lt;&gt;""),(OR($B$3="All",'Monthly Activity Log'!C155=$B$3)),(OR($E$3="All",'Monthly Activity Log'!B155=$E$3))),'Monthly Activity Log'!E155,"")</f>
        <v/>
      </c>
      <c r="F156" s="70">
        <f>IF(AND(('Monthly Activity Log'!C155&lt;&gt;""),(OR($B$3="All",'Monthly Activity Log'!C155=$B$3)),(OR($E$3="All",'Monthly Activity Log'!B155=$E$3))),'Monthly Activity Log'!F155,"")</f>
        <v/>
      </c>
      <c r="G156" s="70">
        <f>IF(AND(('Monthly Activity Log'!C155&lt;&gt;""),(OR($B$3="All",'Monthly Activity Log'!C155=$B$3)),(OR($E$3="All",'Monthly Activity Log'!B155=$E$3))),'Monthly Activity Log'!G155,"")</f>
        <v/>
      </c>
      <c r="H156" s="70">
        <f>IF(AND(('Monthly Activity Log'!C155&lt;&gt;""),(OR($B$3="All",'Monthly Activity Log'!C155=$B$3)),(OR($E$3="All",'Monthly Activity Log'!B155=$E$3))),'Monthly Activity Log'!H155,"")</f>
        <v/>
      </c>
      <c r="I156" s="70">
        <f>IF(AND(('Monthly Activity Log'!C155&lt;&gt;""),(OR($B$3="All",'Monthly Activity Log'!C155=$B$3)),(OR($E$3="All",'Monthly Activity Log'!B155=$E$3))),'Monthly Activity Log'!I155,"")</f>
        <v/>
      </c>
      <c r="J156" s="70">
        <f>IF(AND(('Monthly Activity Log'!C155&lt;&gt;""),(OR($B$3="All",'Monthly Activity Log'!C155=$B$3)),(OR($E$3="All",'Monthly Activity Log'!B155=$E$3))),'Monthly Activity Log'!J155,"")</f>
        <v/>
      </c>
      <c r="K156" s="70">
        <f>IF(AND(('Monthly Activity Log'!C155&lt;&gt;""),(OR($B$3="All",'Monthly Activity Log'!C155=$B$3)),(OR($E$3="All",'Monthly Activity Log'!B155=$E$3))),'Monthly Activity Log'!K155,"")</f>
        <v/>
      </c>
    </row>
    <row r="157" ht="15.75" customHeight="1" s="65">
      <c r="A157" s="73">
        <f>IF(AND(('Monthly Activity Log'!C156&lt;&gt;""),(OR($B$3="All",'Monthly Activity Log'!C156=$B$3)),(OR($E$3="All",'Monthly Activity Log'!B156=$E$3))),ROW()-4,"")</f>
        <v/>
      </c>
      <c r="B157" s="74">
        <f>IF(AND(('Monthly Activity Log'!C156&lt;&gt;""),(OR($B$3="All",'Monthly Activity Log'!C156=$B$3)),(OR($E$3="All",'Monthly Activity Log'!B156=$E$3))),'Monthly Activity Log'!B156,"")</f>
        <v/>
      </c>
      <c r="C157" s="74">
        <f>IF(AND(('Monthly Activity Log'!C156&lt;&gt;""),(OR($B$3="All",'Monthly Activity Log'!C156=$B$3)),(OR($E$3="All",'Monthly Activity Log'!B156=$E$3))),'Monthly Activity Log'!C156,"")</f>
        <v/>
      </c>
      <c r="D157" s="74">
        <f>IF(AND(('Monthly Activity Log'!C156&lt;&gt;""),(OR($B$3="All",'Monthly Activity Log'!C156=$B$3)),(OR($E$3="All",'Monthly Activity Log'!B156=$E$3))),'Monthly Activity Log'!D156,"")</f>
        <v/>
      </c>
      <c r="E157" s="74">
        <f>IF(AND(('Monthly Activity Log'!C156&lt;&gt;""),(OR($B$3="All",'Monthly Activity Log'!C156=$B$3)),(OR($E$3="All",'Monthly Activity Log'!B156=$E$3))),'Monthly Activity Log'!E156,"")</f>
        <v/>
      </c>
      <c r="F157" s="74">
        <f>IF(AND(('Monthly Activity Log'!C156&lt;&gt;""),(OR($B$3="All",'Monthly Activity Log'!C156=$B$3)),(OR($E$3="All",'Monthly Activity Log'!B156=$E$3))),'Monthly Activity Log'!F156,"")</f>
        <v/>
      </c>
      <c r="G157" s="74">
        <f>IF(AND(('Monthly Activity Log'!C156&lt;&gt;""),(OR($B$3="All",'Monthly Activity Log'!C156=$B$3)),(OR($E$3="All",'Monthly Activity Log'!B156=$E$3))),'Monthly Activity Log'!G156,"")</f>
        <v/>
      </c>
      <c r="H157" s="74">
        <f>IF(AND(('Monthly Activity Log'!C156&lt;&gt;""),(OR($B$3="All",'Monthly Activity Log'!C156=$B$3)),(OR($E$3="All",'Monthly Activity Log'!B156=$E$3))),'Monthly Activity Log'!H156,"")</f>
        <v/>
      </c>
      <c r="I157" s="74">
        <f>IF(AND(('Monthly Activity Log'!C156&lt;&gt;""),(OR($B$3="All",'Monthly Activity Log'!C156=$B$3)),(OR($E$3="All",'Monthly Activity Log'!B156=$E$3))),'Monthly Activity Log'!I156,"")</f>
        <v/>
      </c>
      <c r="J157" s="74">
        <f>IF(AND(('Monthly Activity Log'!C156&lt;&gt;""),(OR($B$3="All",'Monthly Activity Log'!C156=$B$3)),(OR($E$3="All",'Monthly Activity Log'!B156=$E$3))),'Monthly Activity Log'!J156,"")</f>
        <v/>
      </c>
      <c r="K157" s="74">
        <f>IF(AND(('Monthly Activity Log'!C156&lt;&gt;""),(OR($B$3="All",'Monthly Activity Log'!C156=$B$3)),(OR($E$3="All",'Monthly Activity Log'!B156=$E$3))),'Monthly Activity Log'!K156,"")</f>
        <v/>
      </c>
    </row>
    <row r="158" ht="15.75" customHeight="1" s="65">
      <c r="A158" s="69">
        <f>IF(AND(('Monthly Activity Log'!C157&lt;&gt;""),(OR($B$3="All",'Monthly Activity Log'!C157=$B$3)),(OR($E$3="All",'Monthly Activity Log'!B157=$E$3))),ROW()-4,"")</f>
        <v/>
      </c>
      <c r="B158" s="70">
        <f>IF(AND(('Monthly Activity Log'!C157&lt;&gt;""),(OR($B$3="All",'Monthly Activity Log'!C157=$B$3)),(OR($E$3="All",'Monthly Activity Log'!B157=$E$3))),'Monthly Activity Log'!B157,"")</f>
        <v/>
      </c>
      <c r="C158" s="70">
        <f>IF(AND(('Monthly Activity Log'!C157&lt;&gt;""),(OR($B$3="All",'Monthly Activity Log'!C157=$B$3)),(OR($E$3="All",'Monthly Activity Log'!B157=$E$3))),'Monthly Activity Log'!C157,"")</f>
        <v/>
      </c>
      <c r="D158" s="70">
        <f>IF(AND(('Monthly Activity Log'!C157&lt;&gt;""),(OR($B$3="All",'Monthly Activity Log'!C157=$B$3)),(OR($E$3="All",'Monthly Activity Log'!B157=$E$3))),'Monthly Activity Log'!D157,"")</f>
        <v/>
      </c>
      <c r="E158" s="70">
        <f>IF(AND(('Monthly Activity Log'!C157&lt;&gt;""),(OR($B$3="All",'Monthly Activity Log'!C157=$B$3)),(OR($E$3="All",'Monthly Activity Log'!B157=$E$3))),'Monthly Activity Log'!E157,"")</f>
        <v/>
      </c>
      <c r="F158" s="70">
        <f>IF(AND(('Monthly Activity Log'!C157&lt;&gt;""),(OR($B$3="All",'Monthly Activity Log'!C157=$B$3)),(OR($E$3="All",'Monthly Activity Log'!B157=$E$3))),'Monthly Activity Log'!F157,"")</f>
        <v/>
      </c>
      <c r="G158" s="70">
        <f>IF(AND(('Monthly Activity Log'!C157&lt;&gt;""),(OR($B$3="All",'Monthly Activity Log'!C157=$B$3)),(OR($E$3="All",'Monthly Activity Log'!B157=$E$3))),'Monthly Activity Log'!G157,"")</f>
        <v/>
      </c>
      <c r="H158" s="70">
        <f>IF(AND(('Monthly Activity Log'!C157&lt;&gt;""),(OR($B$3="All",'Monthly Activity Log'!C157=$B$3)),(OR($E$3="All",'Monthly Activity Log'!B157=$E$3))),'Monthly Activity Log'!H157,"")</f>
        <v/>
      </c>
      <c r="I158" s="70">
        <f>IF(AND(('Monthly Activity Log'!C157&lt;&gt;""),(OR($B$3="All",'Monthly Activity Log'!C157=$B$3)),(OR($E$3="All",'Monthly Activity Log'!B157=$E$3))),'Monthly Activity Log'!I157,"")</f>
        <v/>
      </c>
      <c r="J158" s="70">
        <f>IF(AND(('Monthly Activity Log'!C157&lt;&gt;""),(OR($B$3="All",'Monthly Activity Log'!C157=$B$3)),(OR($E$3="All",'Monthly Activity Log'!B157=$E$3))),'Monthly Activity Log'!J157,"")</f>
        <v/>
      </c>
      <c r="K158" s="70">
        <f>IF(AND(('Monthly Activity Log'!C157&lt;&gt;""),(OR($B$3="All",'Monthly Activity Log'!C157=$B$3)),(OR($E$3="All",'Monthly Activity Log'!B157=$E$3))),'Monthly Activity Log'!K157,"")</f>
        <v/>
      </c>
    </row>
    <row r="159" ht="15.75" customHeight="1" s="65">
      <c r="A159" s="73">
        <f>IF(AND(('Monthly Activity Log'!C158&lt;&gt;""),(OR($B$3="All",'Monthly Activity Log'!C158=$B$3)),(OR($E$3="All",'Monthly Activity Log'!B158=$E$3))),ROW()-4,"")</f>
        <v/>
      </c>
      <c r="B159" s="74">
        <f>IF(AND(('Monthly Activity Log'!C158&lt;&gt;""),(OR($B$3="All",'Monthly Activity Log'!C158=$B$3)),(OR($E$3="All",'Monthly Activity Log'!B158=$E$3))),'Monthly Activity Log'!B158,"")</f>
        <v/>
      </c>
      <c r="C159" s="74">
        <f>IF(AND(('Monthly Activity Log'!C158&lt;&gt;""),(OR($B$3="All",'Monthly Activity Log'!C158=$B$3)),(OR($E$3="All",'Monthly Activity Log'!B158=$E$3))),'Monthly Activity Log'!C158,"")</f>
        <v/>
      </c>
      <c r="D159" s="74">
        <f>IF(AND(('Monthly Activity Log'!C158&lt;&gt;""),(OR($B$3="All",'Monthly Activity Log'!C158=$B$3)),(OR($E$3="All",'Monthly Activity Log'!B158=$E$3))),'Monthly Activity Log'!D158,"")</f>
        <v/>
      </c>
      <c r="E159" s="74">
        <f>IF(AND(('Monthly Activity Log'!C158&lt;&gt;""),(OR($B$3="All",'Monthly Activity Log'!C158=$B$3)),(OR($E$3="All",'Monthly Activity Log'!B158=$E$3))),'Monthly Activity Log'!E158,"")</f>
        <v/>
      </c>
      <c r="F159" s="74">
        <f>IF(AND(('Monthly Activity Log'!C158&lt;&gt;""),(OR($B$3="All",'Monthly Activity Log'!C158=$B$3)),(OR($E$3="All",'Monthly Activity Log'!B158=$E$3))),'Monthly Activity Log'!F158,"")</f>
        <v/>
      </c>
      <c r="G159" s="74">
        <f>IF(AND(('Monthly Activity Log'!C158&lt;&gt;""),(OR($B$3="All",'Monthly Activity Log'!C158=$B$3)),(OR($E$3="All",'Monthly Activity Log'!B158=$E$3))),'Monthly Activity Log'!G158,"")</f>
        <v/>
      </c>
      <c r="H159" s="74">
        <f>IF(AND(('Monthly Activity Log'!C158&lt;&gt;""),(OR($B$3="All",'Monthly Activity Log'!C158=$B$3)),(OR($E$3="All",'Monthly Activity Log'!B158=$E$3))),'Monthly Activity Log'!H158,"")</f>
        <v/>
      </c>
      <c r="I159" s="74">
        <f>IF(AND(('Monthly Activity Log'!C158&lt;&gt;""),(OR($B$3="All",'Monthly Activity Log'!C158=$B$3)),(OR($E$3="All",'Monthly Activity Log'!B158=$E$3))),'Monthly Activity Log'!I158,"")</f>
        <v/>
      </c>
      <c r="J159" s="74">
        <f>IF(AND(('Monthly Activity Log'!C158&lt;&gt;""),(OR($B$3="All",'Monthly Activity Log'!C158=$B$3)),(OR($E$3="All",'Monthly Activity Log'!B158=$E$3))),'Monthly Activity Log'!J158,"")</f>
        <v/>
      </c>
      <c r="K159" s="74">
        <f>IF(AND(('Monthly Activity Log'!C158&lt;&gt;""),(OR($B$3="All",'Monthly Activity Log'!C158=$B$3)),(OR($E$3="All",'Monthly Activity Log'!B158=$E$3))),'Monthly Activity Log'!K158,"")</f>
        <v/>
      </c>
    </row>
    <row r="160" ht="15.75" customHeight="1" s="65">
      <c r="A160" s="69">
        <f>IF(AND(('Monthly Activity Log'!C159&lt;&gt;""),(OR($B$3="All",'Monthly Activity Log'!C159=$B$3)),(OR($E$3="All",'Monthly Activity Log'!B159=$E$3))),ROW()-4,"")</f>
        <v/>
      </c>
      <c r="B160" s="70">
        <f>IF(AND(('Monthly Activity Log'!C159&lt;&gt;""),(OR($B$3="All",'Monthly Activity Log'!C159=$B$3)),(OR($E$3="All",'Monthly Activity Log'!B159=$E$3))),'Monthly Activity Log'!B159,"")</f>
        <v/>
      </c>
      <c r="C160" s="70">
        <f>IF(AND(('Monthly Activity Log'!C159&lt;&gt;""),(OR($B$3="All",'Monthly Activity Log'!C159=$B$3)),(OR($E$3="All",'Monthly Activity Log'!B159=$E$3))),'Monthly Activity Log'!C159,"")</f>
        <v/>
      </c>
      <c r="D160" s="70">
        <f>IF(AND(('Monthly Activity Log'!C159&lt;&gt;""),(OR($B$3="All",'Monthly Activity Log'!C159=$B$3)),(OR($E$3="All",'Monthly Activity Log'!B159=$E$3))),'Monthly Activity Log'!D159,"")</f>
        <v/>
      </c>
      <c r="E160" s="70">
        <f>IF(AND(('Monthly Activity Log'!C159&lt;&gt;""),(OR($B$3="All",'Monthly Activity Log'!C159=$B$3)),(OR($E$3="All",'Monthly Activity Log'!B159=$E$3))),'Monthly Activity Log'!E159,"")</f>
        <v/>
      </c>
      <c r="F160" s="70">
        <f>IF(AND(('Monthly Activity Log'!C159&lt;&gt;""),(OR($B$3="All",'Monthly Activity Log'!C159=$B$3)),(OR($E$3="All",'Monthly Activity Log'!B159=$E$3))),'Monthly Activity Log'!F159,"")</f>
        <v/>
      </c>
      <c r="G160" s="70">
        <f>IF(AND(('Monthly Activity Log'!C159&lt;&gt;""),(OR($B$3="All",'Monthly Activity Log'!C159=$B$3)),(OR($E$3="All",'Monthly Activity Log'!B159=$E$3))),'Monthly Activity Log'!G159,"")</f>
        <v/>
      </c>
      <c r="H160" s="70">
        <f>IF(AND(('Monthly Activity Log'!C159&lt;&gt;""),(OR($B$3="All",'Monthly Activity Log'!C159=$B$3)),(OR($E$3="All",'Monthly Activity Log'!B159=$E$3))),'Monthly Activity Log'!H159,"")</f>
        <v/>
      </c>
      <c r="I160" s="70">
        <f>IF(AND(('Monthly Activity Log'!C159&lt;&gt;""),(OR($B$3="All",'Monthly Activity Log'!C159=$B$3)),(OR($E$3="All",'Monthly Activity Log'!B159=$E$3))),'Monthly Activity Log'!I159,"")</f>
        <v/>
      </c>
      <c r="J160" s="70">
        <f>IF(AND(('Monthly Activity Log'!C159&lt;&gt;""),(OR($B$3="All",'Monthly Activity Log'!C159=$B$3)),(OR($E$3="All",'Monthly Activity Log'!B159=$E$3))),'Monthly Activity Log'!J159,"")</f>
        <v/>
      </c>
      <c r="K160" s="70">
        <f>IF(AND(('Monthly Activity Log'!C159&lt;&gt;""),(OR($B$3="All",'Monthly Activity Log'!C159=$B$3)),(OR($E$3="All",'Monthly Activity Log'!B159=$E$3))),'Monthly Activity Log'!K159,"")</f>
        <v/>
      </c>
    </row>
    <row r="161" ht="15.75" customHeight="1" s="65">
      <c r="A161" s="73">
        <f>IF(AND(('Monthly Activity Log'!C160&lt;&gt;""),(OR($B$3="All",'Monthly Activity Log'!C160=$B$3)),(OR($E$3="All",'Monthly Activity Log'!B160=$E$3))),ROW()-4,"")</f>
        <v/>
      </c>
      <c r="B161" s="74">
        <f>IF(AND(('Monthly Activity Log'!C160&lt;&gt;""),(OR($B$3="All",'Monthly Activity Log'!C160=$B$3)),(OR($E$3="All",'Monthly Activity Log'!B160=$E$3))),'Monthly Activity Log'!B160,"")</f>
        <v/>
      </c>
      <c r="C161" s="74">
        <f>IF(AND(('Monthly Activity Log'!C160&lt;&gt;""),(OR($B$3="All",'Monthly Activity Log'!C160=$B$3)),(OR($E$3="All",'Monthly Activity Log'!B160=$E$3))),'Monthly Activity Log'!C160,"")</f>
        <v/>
      </c>
      <c r="D161" s="74">
        <f>IF(AND(('Monthly Activity Log'!C160&lt;&gt;""),(OR($B$3="All",'Monthly Activity Log'!C160=$B$3)),(OR($E$3="All",'Monthly Activity Log'!B160=$E$3))),'Monthly Activity Log'!D160,"")</f>
        <v/>
      </c>
      <c r="E161" s="74">
        <f>IF(AND(('Monthly Activity Log'!C160&lt;&gt;""),(OR($B$3="All",'Monthly Activity Log'!C160=$B$3)),(OR($E$3="All",'Monthly Activity Log'!B160=$E$3))),'Monthly Activity Log'!E160,"")</f>
        <v/>
      </c>
      <c r="F161" s="74">
        <f>IF(AND(('Monthly Activity Log'!C160&lt;&gt;""),(OR($B$3="All",'Monthly Activity Log'!C160=$B$3)),(OR($E$3="All",'Monthly Activity Log'!B160=$E$3))),'Monthly Activity Log'!F160,"")</f>
        <v/>
      </c>
      <c r="G161" s="74">
        <f>IF(AND(('Monthly Activity Log'!C160&lt;&gt;""),(OR($B$3="All",'Monthly Activity Log'!C160=$B$3)),(OR($E$3="All",'Monthly Activity Log'!B160=$E$3))),'Monthly Activity Log'!G160,"")</f>
        <v/>
      </c>
      <c r="H161" s="74">
        <f>IF(AND(('Monthly Activity Log'!C160&lt;&gt;""),(OR($B$3="All",'Monthly Activity Log'!C160=$B$3)),(OR($E$3="All",'Monthly Activity Log'!B160=$E$3))),'Monthly Activity Log'!H160,"")</f>
        <v/>
      </c>
      <c r="I161" s="74">
        <f>IF(AND(('Monthly Activity Log'!C160&lt;&gt;""),(OR($B$3="All",'Monthly Activity Log'!C160=$B$3)),(OR($E$3="All",'Monthly Activity Log'!B160=$E$3))),'Monthly Activity Log'!I160,"")</f>
        <v/>
      </c>
      <c r="J161" s="74">
        <f>IF(AND(('Monthly Activity Log'!C160&lt;&gt;""),(OR($B$3="All",'Monthly Activity Log'!C160=$B$3)),(OR($E$3="All",'Monthly Activity Log'!B160=$E$3))),'Monthly Activity Log'!J160,"")</f>
        <v/>
      </c>
      <c r="K161" s="74">
        <f>IF(AND(('Monthly Activity Log'!C160&lt;&gt;""),(OR($B$3="All",'Monthly Activity Log'!C160=$B$3)),(OR($E$3="All",'Monthly Activity Log'!B160=$E$3))),'Monthly Activity Log'!K160,"")</f>
        <v/>
      </c>
    </row>
    <row r="162" ht="15.75" customHeight="1" s="65">
      <c r="A162" s="69">
        <f>IF(AND(('Monthly Activity Log'!C161&lt;&gt;""),(OR($B$3="All",'Monthly Activity Log'!C161=$B$3)),(OR($E$3="All",'Monthly Activity Log'!B161=$E$3))),ROW()-4,"")</f>
        <v/>
      </c>
      <c r="B162" s="70">
        <f>IF(AND(('Monthly Activity Log'!C161&lt;&gt;""),(OR($B$3="All",'Monthly Activity Log'!C161=$B$3)),(OR($E$3="All",'Monthly Activity Log'!B161=$E$3))),'Monthly Activity Log'!B161,"")</f>
        <v/>
      </c>
      <c r="C162" s="70">
        <f>IF(AND(('Monthly Activity Log'!C161&lt;&gt;""),(OR($B$3="All",'Monthly Activity Log'!C161=$B$3)),(OR($E$3="All",'Monthly Activity Log'!B161=$E$3))),'Monthly Activity Log'!C161,"")</f>
        <v/>
      </c>
      <c r="D162" s="70">
        <f>IF(AND(('Monthly Activity Log'!C161&lt;&gt;""),(OR($B$3="All",'Monthly Activity Log'!C161=$B$3)),(OR($E$3="All",'Monthly Activity Log'!B161=$E$3))),'Monthly Activity Log'!D161,"")</f>
        <v/>
      </c>
      <c r="E162" s="70">
        <f>IF(AND(('Monthly Activity Log'!C161&lt;&gt;""),(OR($B$3="All",'Monthly Activity Log'!C161=$B$3)),(OR($E$3="All",'Monthly Activity Log'!B161=$E$3))),'Monthly Activity Log'!E161,"")</f>
        <v/>
      </c>
      <c r="F162" s="70">
        <f>IF(AND(('Monthly Activity Log'!C161&lt;&gt;""),(OR($B$3="All",'Monthly Activity Log'!C161=$B$3)),(OR($E$3="All",'Monthly Activity Log'!B161=$E$3))),'Monthly Activity Log'!F161,"")</f>
        <v/>
      </c>
      <c r="G162" s="70">
        <f>IF(AND(('Monthly Activity Log'!C161&lt;&gt;""),(OR($B$3="All",'Monthly Activity Log'!C161=$B$3)),(OR($E$3="All",'Monthly Activity Log'!B161=$E$3))),'Monthly Activity Log'!G161,"")</f>
        <v/>
      </c>
      <c r="H162" s="70">
        <f>IF(AND(('Monthly Activity Log'!C161&lt;&gt;""),(OR($B$3="All",'Monthly Activity Log'!C161=$B$3)),(OR($E$3="All",'Monthly Activity Log'!B161=$E$3))),'Monthly Activity Log'!H161,"")</f>
        <v/>
      </c>
      <c r="I162" s="70">
        <f>IF(AND(('Monthly Activity Log'!C161&lt;&gt;""),(OR($B$3="All",'Monthly Activity Log'!C161=$B$3)),(OR($E$3="All",'Monthly Activity Log'!B161=$E$3))),'Monthly Activity Log'!I161,"")</f>
        <v/>
      </c>
      <c r="J162" s="70">
        <f>IF(AND(('Monthly Activity Log'!C161&lt;&gt;""),(OR($B$3="All",'Monthly Activity Log'!C161=$B$3)),(OR($E$3="All",'Monthly Activity Log'!B161=$E$3))),'Monthly Activity Log'!J161,"")</f>
        <v/>
      </c>
      <c r="K162" s="70">
        <f>IF(AND(('Monthly Activity Log'!C161&lt;&gt;""),(OR($B$3="All",'Monthly Activity Log'!C161=$B$3)),(OR($E$3="All",'Monthly Activity Log'!B161=$E$3))),'Monthly Activity Log'!K161,"")</f>
        <v/>
      </c>
    </row>
    <row r="163" ht="15.75" customHeight="1" s="65">
      <c r="A163" s="73">
        <f>IF(AND(('Monthly Activity Log'!C162&lt;&gt;""),(OR($B$3="All",'Monthly Activity Log'!C162=$B$3)),(OR($E$3="All",'Monthly Activity Log'!B162=$E$3))),ROW()-4,"")</f>
        <v/>
      </c>
      <c r="B163" s="74">
        <f>IF(AND(('Monthly Activity Log'!C162&lt;&gt;""),(OR($B$3="All",'Monthly Activity Log'!C162=$B$3)),(OR($E$3="All",'Monthly Activity Log'!B162=$E$3))),'Monthly Activity Log'!B162,"")</f>
        <v/>
      </c>
      <c r="C163" s="74">
        <f>IF(AND(('Monthly Activity Log'!C162&lt;&gt;""),(OR($B$3="All",'Monthly Activity Log'!C162=$B$3)),(OR($E$3="All",'Monthly Activity Log'!B162=$E$3))),'Monthly Activity Log'!C162,"")</f>
        <v/>
      </c>
      <c r="D163" s="74">
        <f>IF(AND(('Monthly Activity Log'!C162&lt;&gt;""),(OR($B$3="All",'Monthly Activity Log'!C162=$B$3)),(OR($E$3="All",'Monthly Activity Log'!B162=$E$3))),'Monthly Activity Log'!D162,"")</f>
        <v/>
      </c>
      <c r="E163" s="74">
        <f>IF(AND(('Monthly Activity Log'!C162&lt;&gt;""),(OR($B$3="All",'Monthly Activity Log'!C162=$B$3)),(OR($E$3="All",'Monthly Activity Log'!B162=$E$3))),'Monthly Activity Log'!E162,"")</f>
        <v/>
      </c>
      <c r="F163" s="74">
        <f>IF(AND(('Monthly Activity Log'!C162&lt;&gt;""),(OR($B$3="All",'Monthly Activity Log'!C162=$B$3)),(OR($E$3="All",'Monthly Activity Log'!B162=$E$3))),'Monthly Activity Log'!F162,"")</f>
        <v/>
      </c>
      <c r="G163" s="74">
        <f>IF(AND(('Monthly Activity Log'!C162&lt;&gt;""),(OR($B$3="All",'Monthly Activity Log'!C162=$B$3)),(OR($E$3="All",'Monthly Activity Log'!B162=$E$3))),'Monthly Activity Log'!G162,"")</f>
        <v/>
      </c>
      <c r="H163" s="74">
        <f>IF(AND(('Monthly Activity Log'!C162&lt;&gt;""),(OR($B$3="All",'Monthly Activity Log'!C162=$B$3)),(OR($E$3="All",'Monthly Activity Log'!B162=$E$3))),'Monthly Activity Log'!H162,"")</f>
        <v/>
      </c>
      <c r="I163" s="74">
        <f>IF(AND(('Monthly Activity Log'!C162&lt;&gt;""),(OR($B$3="All",'Monthly Activity Log'!C162=$B$3)),(OR($E$3="All",'Monthly Activity Log'!B162=$E$3))),'Monthly Activity Log'!I162,"")</f>
        <v/>
      </c>
      <c r="J163" s="74">
        <f>IF(AND(('Monthly Activity Log'!C162&lt;&gt;""),(OR($B$3="All",'Monthly Activity Log'!C162=$B$3)),(OR($E$3="All",'Monthly Activity Log'!B162=$E$3))),'Monthly Activity Log'!J162,"")</f>
        <v/>
      </c>
      <c r="K163" s="74">
        <f>IF(AND(('Monthly Activity Log'!C162&lt;&gt;""),(OR($B$3="All",'Monthly Activity Log'!C162=$B$3)),(OR($E$3="All",'Monthly Activity Log'!B162=$E$3))),'Monthly Activity Log'!K162,"")</f>
        <v/>
      </c>
    </row>
    <row r="164" ht="15.75" customHeight="1" s="65">
      <c r="A164" s="69">
        <f>IF(AND(('Monthly Activity Log'!C163&lt;&gt;""),(OR($B$3="All",'Monthly Activity Log'!C163=$B$3)),(OR($E$3="All",'Monthly Activity Log'!B163=$E$3))),ROW()-4,"")</f>
        <v/>
      </c>
      <c r="B164" s="70">
        <f>IF(AND(('Monthly Activity Log'!C163&lt;&gt;""),(OR($B$3="All",'Monthly Activity Log'!C163=$B$3)),(OR($E$3="All",'Monthly Activity Log'!B163=$E$3))),'Monthly Activity Log'!B163,"")</f>
        <v/>
      </c>
      <c r="C164" s="70">
        <f>IF(AND(('Monthly Activity Log'!C163&lt;&gt;""),(OR($B$3="All",'Monthly Activity Log'!C163=$B$3)),(OR($E$3="All",'Monthly Activity Log'!B163=$E$3))),'Monthly Activity Log'!C163,"")</f>
        <v/>
      </c>
      <c r="D164" s="70">
        <f>IF(AND(('Monthly Activity Log'!C163&lt;&gt;""),(OR($B$3="All",'Monthly Activity Log'!C163=$B$3)),(OR($E$3="All",'Monthly Activity Log'!B163=$E$3))),'Monthly Activity Log'!D163,"")</f>
        <v/>
      </c>
      <c r="E164" s="70">
        <f>IF(AND(('Monthly Activity Log'!C163&lt;&gt;""),(OR($B$3="All",'Monthly Activity Log'!C163=$B$3)),(OR($E$3="All",'Monthly Activity Log'!B163=$E$3))),'Monthly Activity Log'!E163,"")</f>
        <v/>
      </c>
      <c r="F164" s="70">
        <f>IF(AND(('Monthly Activity Log'!C163&lt;&gt;""),(OR($B$3="All",'Monthly Activity Log'!C163=$B$3)),(OR($E$3="All",'Monthly Activity Log'!B163=$E$3))),'Monthly Activity Log'!F163,"")</f>
        <v/>
      </c>
      <c r="G164" s="70">
        <f>IF(AND(('Monthly Activity Log'!C163&lt;&gt;""),(OR($B$3="All",'Monthly Activity Log'!C163=$B$3)),(OR($E$3="All",'Monthly Activity Log'!B163=$E$3))),'Monthly Activity Log'!G163,"")</f>
        <v/>
      </c>
      <c r="H164" s="70">
        <f>IF(AND(('Monthly Activity Log'!C163&lt;&gt;""),(OR($B$3="All",'Monthly Activity Log'!C163=$B$3)),(OR($E$3="All",'Monthly Activity Log'!B163=$E$3))),'Monthly Activity Log'!H163,"")</f>
        <v/>
      </c>
      <c r="I164" s="70">
        <f>IF(AND(('Monthly Activity Log'!C163&lt;&gt;""),(OR($B$3="All",'Monthly Activity Log'!C163=$B$3)),(OR($E$3="All",'Monthly Activity Log'!B163=$E$3))),'Monthly Activity Log'!I163,"")</f>
        <v/>
      </c>
      <c r="J164" s="70">
        <f>IF(AND(('Monthly Activity Log'!C163&lt;&gt;""),(OR($B$3="All",'Monthly Activity Log'!C163=$B$3)),(OR($E$3="All",'Monthly Activity Log'!B163=$E$3))),'Monthly Activity Log'!J163,"")</f>
        <v/>
      </c>
      <c r="K164" s="70">
        <f>IF(AND(('Monthly Activity Log'!C163&lt;&gt;""),(OR($B$3="All",'Monthly Activity Log'!C163=$B$3)),(OR($E$3="All",'Monthly Activity Log'!B163=$E$3))),'Monthly Activity Log'!K163,"")</f>
        <v/>
      </c>
    </row>
    <row r="165" ht="15.75" customHeight="1" s="65">
      <c r="A165" s="73">
        <f>IF(AND(('Monthly Activity Log'!C164&lt;&gt;""),(OR($B$3="All",'Monthly Activity Log'!C164=$B$3)),(OR($E$3="All",'Monthly Activity Log'!B164=$E$3))),ROW()-4,"")</f>
        <v/>
      </c>
      <c r="B165" s="74">
        <f>IF(AND(('Monthly Activity Log'!C164&lt;&gt;""),(OR($B$3="All",'Monthly Activity Log'!C164=$B$3)),(OR($E$3="All",'Monthly Activity Log'!B164=$E$3))),'Monthly Activity Log'!B164,"")</f>
        <v/>
      </c>
      <c r="C165" s="74">
        <f>IF(AND(('Monthly Activity Log'!C164&lt;&gt;""),(OR($B$3="All",'Monthly Activity Log'!C164=$B$3)),(OR($E$3="All",'Monthly Activity Log'!B164=$E$3))),'Monthly Activity Log'!C164,"")</f>
        <v/>
      </c>
      <c r="D165" s="74">
        <f>IF(AND(('Monthly Activity Log'!C164&lt;&gt;""),(OR($B$3="All",'Monthly Activity Log'!C164=$B$3)),(OR($E$3="All",'Monthly Activity Log'!B164=$E$3))),'Monthly Activity Log'!D164,"")</f>
        <v/>
      </c>
      <c r="E165" s="74">
        <f>IF(AND(('Monthly Activity Log'!C164&lt;&gt;""),(OR($B$3="All",'Monthly Activity Log'!C164=$B$3)),(OR($E$3="All",'Monthly Activity Log'!B164=$E$3))),'Monthly Activity Log'!E164,"")</f>
        <v/>
      </c>
      <c r="F165" s="74">
        <f>IF(AND(('Monthly Activity Log'!C164&lt;&gt;""),(OR($B$3="All",'Monthly Activity Log'!C164=$B$3)),(OR($E$3="All",'Monthly Activity Log'!B164=$E$3))),'Monthly Activity Log'!F164,"")</f>
        <v/>
      </c>
      <c r="G165" s="74">
        <f>IF(AND(('Monthly Activity Log'!C164&lt;&gt;""),(OR($B$3="All",'Monthly Activity Log'!C164=$B$3)),(OR($E$3="All",'Monthly Activity Log'!B164=$E$3))),'Monthly Activity Log'!G164,"")</f>
        <v/>
      </c>
      <c r="H165" s="74">
        <f>IF(AND(('Monthly Activity Log'!C164&lt;&gt;""),(OR($B$3="All",'Monthly Activity Log'!C164=$B$3)),(OR($E$3="All",'Monthly Activity Log'!B164=$E$3))),'Monthly Activity Log'!H164,"")</f>
        <v/>
      </c>
      <c r="I165" s="74">
        <f>IF(AND(('Monthly Activity Log'!C164&lt;&gt;""),(OR($B$3="All",'Monthly Activity Log'!C164=$B$3)),(OR($E$3="All",'Monthly Activity Log'!B164=$E$3))),'Monthly Activity Log'!I164,"")</f>
        <v/>
      </c>
      <c r="J165" s="74">
        <f>IF(AND(('Monthly Activity Log'!C164&lt;&gt;""),(OR($B$3="All",'Monthly Activity Log'!C164=$B$3)),(OR($E$3="All",'Monthly Activity Log'!B164=$E$3))),'Monthly Activity Log'!J164,"")</f>
        <v/>
      </c>
      <c r="K165" s="74">
        <f>IF(AND(('Monthly Activity Log'!C164&lt;&gt;""),(OR($B$3="All",'Monthly Activity Log'!C164=$B$3)),(OR($E$3="All",'Monthly Activity Log'!B164=$E$3))),'Monthly Activity Log'!K164,"")</f>
        <v/>
      </c>
    </row>
    <row r="166" ht="15.75" customHeight="1" s="65">
      <c r="A166" s="69">
        <f>IF(AND(('Monthly Activity Log'!C165&lt;&gt;""),(OR($B$3="All",'Monthly Activity Log'!C165=$B$3)),(OR($E$3="All",'Monthly Activity Log'!B165=$E$3))),ROW()-4,"")</f>
        <v/>
      </c>
      <c r="B166" s="70">
        <f>IF(AND(('Monthly Activity Log'!C165&lt;&gt;""),(OR($B$3="All",'Monthly Activity Log'!C165=$B$3)),(OR($E$3="All",'Monthly Activity Log'!B165=$E$3))),'Monthly Activity Log'!B165,"")</f>
        <v/>
      </c>
      <c r="C166" s="70">
        <f>IF(AND(('Monthly Activity Log'!C165&lt;&gt;""),(OR($B$3="All",'Monthly Activity Log'!C165=$B$3)),(OR($E$3="All",'Monthly Activity Log'!B165=$E$3))),'Monthly Activity Log'!C165,"")</f>
        <v/>
      </c>
      <c r="D166" s="70">
        <f>IF(AND(('Monthly Activity Log'!C165&lt;&gt;""),(OR($B$3="All",'Monthly Activity Log'!C165=$B$3)),(OR($E$3="All",'Monthly Activity Log'!B165=$E$3))),'Monthly Activity Log'!D165,"")</f>
        <v/>
      </c>
      <c r="E166" s="70">
        <f>IF(AND(('Monthly Activity Log'!C165&lt;&gt;""),(OR($B$3="All",'Monthly Activity Log'!C165=$B$3)),(OR($E$3="All",'Monthly Activity Log'!B165=$E$3))),'Monthly Activity Log'!E165,"")</f>
        <v/>
      </c>
      <c r="F166" s="70">
        <f>IF(AND(('Monthly Activity Log'!C165&lt;&gt;""),(OR($B$3="All",'Monthly Activity Log'!C165=$B$3)),(OR($E$3="All",'Monthly Activity Log'!B165=$E$3))),'Monthly Activity Log'!F165,"")</f>
        <v/>
      </c>
      <c r="G166" s="70">
        <f>IF(AND(('Monthly Activity Log'!C165&lt;&gt;""),(OR($B$3="All",'Monthly Activity Log'!C165=$B$3)),(OR($E$3="All",'Monthly Activity Log'!B165=$E$3))),'Monthly Activity Log'!G165,"")</f>
        <v/>
      </c>
      <c r="H166" s="70">
        <f>IF(AND(('Monthly Activity Log'!C165&lt;&gt;""),(OR($B$3="All",'Monthly Activity Log'!C165=$B$3)),(OR($E$3="All",'Monthly Activity Log'!B165=$E$3))),'Monthly Activity Log'!H165,"")</f>
        <v/>
      </c>
      <c r="I166" s="70">
        <f>IF(AND(('Monthly Activity Log'!C165&lt;&gt;""),(OR($B$3="All",'Monthly Activity Log'!C165=$B$3)),(OR($E$3="All",'Monthly Activity Log'!B165=$E$3))),'Monthly Activity Log'!I165,"")</f>
        <v/>
      </c>
      <c r="J166" s="70">
        <f>IF(AND(('Monthly Activity Log'!C165&lt;&gt;""),(OR($B$3="All",'Monthly Activity Log'!C165=$B$3)),(OR($E$3="All",'Monthly Activity Log'!B165=$E$3))),'Monthly Activity Log'!J165,"")</f>
        <v/>
      </c>
      <c r="K166" s="70">
        <f>IF(AND(('Monthly Activity Log'!C165&lt;&gt;""),(OR($B$3="All",'Monthly Activity Log'!C165=$B$3)),(OR($E$3="All",'Monthly Activity Log'!B165=$E$3))),'Monthly Activity Log'!K165,"")</f>
        <v/>
      </c>
    </row>
    <row r="167" ht="15.75" customHeight="1" s="65">
      <c r="A167" s="73">
        <f>IF(AND(('Monthly Activity Log'!C166&lt;&gt;""),(OR($B$3="All",'Monthly Activity Log'!C166=$B$3)),(OR($E$3="All",'Monthly Activity Log'!B166=$E$3))),ROW()-4,"")</f>
        <v/>
      </c>
      <c r="B167" s="74">
        <f>IF(AND(('Monthly Activity Log'!C166&lt;&gt;""),(OR($B$3="All",'Monthly Activity Log'!C166=$B$3)),(OR($E$3="All",'Monthly Activity Log'!B166=$E$3))),'Monthly Activity Log'!B166,"")</f>
        <v/>
      </c>
      <c r="C167" s="74">
        <f>IF(AND(('Monthly Activity Log'!C166&lt;&gt;""),(OR($B$3="All",'Monthly Activity Log'!C166=$B$3)),(OR($E$3="All",'Monthly Activity Log'!B166=$E$3))),'Monthly Activity Log'!C166,"")</f>
        <v/>
      </c>
      <c r="D167" s="74">
        <f>IF(AND(('Monthly Activity Log'!C166&lt;&gt;""),(OR($B$3="All",'Monthly Activity Log'!C166=$B$3)),(OR($E$3="All",'Monthly Activity Log'!B166=$E$3))),'Monthly Activity Log'!D166,"")</f>
        <v/>
      </c>
      <c r="E167" s="74">
        <f>IF(AND(('Monthly Activity Log'!C166&lt;&gt;""),(OR($B$3="All",'Monthly Activity Log'!C166=$B$3)),(OR($E$3="All",'Monthly Activity Log'!B166=$E$3))),'Monthly Activity Log'!E166,"")</f>
        <v/>
      </c>
      <c r="F167" s="74">
        <f>IF(AND(('Monthly Activity Log'!C166&lt;&gt;""),(OR($B$3="All",'Monthly Activity Log'!C166=$B$3)),(OR($E$3="All",'Monthly Activity Log'!B166=$E$3))),'Monthly Activity Log'!F166,"")</f>
        <v/>
      </c>
      <c r="G167" s="74">
        <f>IF(AND(('Monthly Activity Log'!C166&lt;&gt;""),(OR($B$3="All",'Monthly Activity Log'!C166=$B$3)),(OR($E$3="All",'Monthly Activity Log'!B166=$E$3))),'Monthly Activity Log'!G166,"")</f>
        <v/>
      </c>
      <c r="H167" s="74">
        <f>IF(AND(('Monthly Activity Log'!C166&lt;&gt;""),(OR($B$3="All",'Monthly Activity Log'!C166=$B$3)),(OR($E$3="All",'Monthly Activity Log'!B166=$E$3))),'Monthly Activity Log'!H166,"")</f>
        <v/>
      </c>
      <c r="I167" s="74">
        <f>IF(AND(('Monthly Activity Log'!C166&lt;&gt;""),(OR($B$3="All",'Monthly Activity Log'!C166=$B$3)),(OR($E$3="All",'Monthly Activity Log'!B166=$E$3))),'Monthly Activity Log'!I166,"")</f>
        <v/>
      </c>
      <c r="J167" s="74">
        <f>IF(AND(('Monthly Activity Log'!C166&lt;&gt;""),(OR($B$3="All",'Monthly Activity Log'!C166=$B$3)),(OR($E$3="All",'Monthly Activity Log'!B166=$E$3))),'Monthly Activity Log'!J166,"")</f>
        <v/>
      </c>
      <c r="K167" s="74">
        <f>IF(AND(('Monthly Activity Log'!C166&lt;&gt;""),(OR($B$3="All",'Monthly Activity Log'!C166=$B$3)),(OR($E$3="All",'Monthly Activity Log'!B166=$E$3))),'Monthly Activity Log'!K166,"")</f>
        <v/>
      </c>
    </row>
    <row r="168" ht="15.75" customHeight="1" s="65">
      <c r="A168" s="69">
        <f>IF(AND(('Monthly Activity Log'!C167&lt;&gt;""),(OR($B$3="All",'Monthly Activity Log'!C167=$B$3)),(OR($E$3="All",'Monthly Activity Log'!B167=$E$3))),ROW()-4,"")</f>
        <v/>
      </c>
      <c r="B168" s="70">
        <f>IF(AND(('Monthly Activity Log'!C167&lt;&gt;""),(OR($B$3="All",'Monthly Activity Log'!C167=$B$3)),(OR($E$3="All",'Monthly Activity Log'!B167=$E$3))),'Monthly Activity Log'!B167,"")</f>
        <v/>
      </c>
      <c r="C168" s="70">
        <f>IF(AND(('Monthly Activity Log'!C167&lt;&gt;""),(OR($B$3="All",'Monthly Activity Log'!C167=$B$3)),(OR($E$3="All",'Monthly Activity Log'!B167=$E$3))),'Monthly Activity Log'!C167,"")</f>
        <v/>
      </c>
      <c r="D168" s="70">
        <f>IF(AND(('Monthly Activity Log'!C167&lt;&gt;""),(OR($B$3="All",'Monthly Activity Log'!C167=$B$3)),(OR($E$3="All",'Monthly Activity Log'!B167=$E$3))),'Monthly Activity Log'!D167,"")</f>
        <v/>
      </c>
      <c r="E168" s="70">
        <f>IF(AND(('Monthly Activity Log'!C167&lt;&gt;""),(OR($B$3="All",'Monthly Activity Log'!C167=$B$3)),(OR($E$3="All",'Monthly Activity Log'!B167=$E$3))),'Monthly Activity Log'!E167,"")</f>
        <v/>
      </c>
      <c r="F168" s="70">
        <f>IF(AND(('Monthly Activity Log'!C167&lt;&gt;""),(OR($B$3="All",'Monthly Activity Log'!C167=$B$3)),(OR($E$3="All",'Monthly Activity Log'!B167=$E$3))),'Monthly Activity Log'!F167,"")</f>
        <v/>
      </c>
      <c r="G168" s="70">
        <f>IF(AND(('Monthly Activity Log'!C167&lt;&gt;""),(OR($B$3="All",'Monthly Activity Log'!C167=$B$3)),(OR($E$3="All",'Monthly Activity Log'!B167=$E$3))),'Monthly Activity Log'!G167,"")</f>
        <v/>
      </c>
      <c r="H168" s="70">
        <f>IF(AND(('Monthly Activity Log'!C167&lt;&gt;""),(OR($B$3="All",'Monthly Activity Log'!C167=$B$3)),(OR($E$3="All",'Monthly Activity Log'!B167=$E$3))),'Monthly Activity Log'!H167,"")</f>
        <v/>
      </c>
      <c r="I168" s="70">
        <f>IF(AND(('Monthly Activity Log'!C167&lt;&gt;""),(OR($B$3="All",'Monthly Activity Log'!C167=$B$3)),(OR($E$3="All",'Monthly Activity Log'!B167=$E$3))),'Monthly Activity Log'!I167,"")</f>
        <v/>
      </c>
      <c r="J168" s="70">
        <f>IF(AND(('Monthly Activity Log'!C167&lt;&gt;""),(OR($B$3="All",'Monthly Activity Log'!C167=$B$3)),(OR($E$3="All",'Monthly Activity Log'!B167=$E$3))),'Monthly Activity Log'!J167,"")</f>
        <v/>
      </c>
      <c r="K168" s="70">
        <f>IF(AND(('Monthly Activity Log'!C167&lt;&gt;""),(OR($B$3="All",'Monthly Activity Log'!C167=$B$3)),(OR($E$3="All",'Monthly Activity Log'!B167=$E$3))),'Monthly Activity Log'!K167,"")</f>
        <v/>
      </c>
    </row>
    <row r="169" ht="15.75" customHeight="1" s="65">
      <c r="A169" s="73">
        <f>IF(AND(('Monthly Activity Log'!C168&lt;&gt;""),(OR($B$3="All",'Monthly Activity Log'!C168=$B$3)),(OR($E$3="All",'Monthly Activity Log'!B168=$E$3))),ROW()-4,"")</f>
        <v/>
      </c>
      <c r="B169" s="74">
        <f>IF(AND(('Monthly Activity Log'!C168&lt;&gt;""),(OR($B$3="All",'Monthly Activity Log'!C168=$B$3)),(OR($E$3="All",'Monthly Activity Log'!B168=$E$3))),'Monthly Activity Log'!B168,"")</f>
        <v/>
      </c>
      <c r="C169" s="74">
        <f>IF(AND(('Monthly Activity Log'!C168&lt;&gt;""),(OR($B$3="All",'Monthly Activity Log'!C168=$B$3)),(OR($E$3="All",'Monthly Activity Log'!B168=$E$3))),'Monthly Activity Log'!C168,"")</f>
        <v/>
      </c>
      <c r="D169" s="74">
        <f>IF(AND(('Monthly Activity Log'!C168&lt;&gt;""),(OR($B$3="All",'Monthly Activity Log'!C168=$B$3)),(OR($E$3="All",'Monthly Activity Log'!B168=$E$3))),'Monthly Activity Log'!D168,"")</f>
        <v/>
      </c>
      <c r="E169" s="74">
        <f>IF(AND(('Monthly Activity Log'!C168&lt;&gt;""),(OR($B$3="All",'Monthly Activity Log'!C168=$B$3)),(OR($E$3="All",'Monthly Activity Log'!B168=$E$3))),'Monthly Activity Log'!E168,"")</f>
        <v/>
      </c>
      <c r="F169" s="74">
        <f>IF(AND(('Monthly Activity Log'!C168&lt;&gt;""),(OR($B$3="All",'Monthly Activity Log'!C168=$B$3)),(OR($E$3="All",'Monthly Activity Log'!B168=$E$3))),'Monthly Activity Log'!F168,"")</f>
        <v/>
      </c>
      <c r="G169" s="74">
        <f>IF(AND(('Monthly Activity Log'!C168&lt;&gt;""),(OR($B$3="All",'Monthly Activity Log'!C168=$B$3)),(OR($E$3="All",'Monthly Activity Log'!B168=$E$3))),'Monthly Activity Log'!G168,"")</f>
        <v/>
      </c>
      <c r="H169" s="74">
        <f>IF(AND(('Monthly Activity Log'!C168&lt;&gt;""),(OR($B$3="All",'Monthly Activity Log'!C168=$B$3)),(OR($E$3="All",'Monthly Activity Log'!B168=$E$3))),'Monthly Activity Log'!H168,"")</f>
        <v/>
      </c>
      <c r="I169" s="74">
        <f>IF(AND(('Monthly Activity Log'!C168&lt;&gt;""),(OR($B$3="All",'Monthly Activity Log'!C168=$B$3)),(OR($E$3="All",'Monthly Activity Log'!B168=$E$3))),'Monthly Activity Log'!I168,"")</f>
        <v/>
      </c>
      <c r="J169" s="74">
        <f>IF(AND(('Monthly Activity Log'!C168&lt;&gt;""),(OR($B$3="All",'Monthly Activity Log'!C168=$B$3)),(OR($E$3="All",'Monthly Activity Log'!B168=$E$3))),'Monthly Activity Log'!J168,"")</f>
        <v/>
      </c>
      <c r="K169" s="74">
        <f>IF(AND(('Monthly Activity Log'!C168&lt;&gt;""),(OR($B$3="All",'Monthly Activity Log'!C168=$B$3)),(OR($E$3="All",'Monthly Activity Log'!B168=$E$3))),'Monthly Activity Log'!K168,"")</f>
        <v/>
      </c>
    </row>
    <row r="170" ht="15.75" customHeight="1" s="65">
      <c r="A170" s="69">
        <f>IF(AND(('Monthly Activity Log'!C169&lt;&gt;""),(OR($B$3="All",'Monthly Activity Log'!C169=$B$3)),(OR($E$3="All",'Monthly Activity Log'!B169=$E$3))),ROW()-4,"")</f>
        <v/>
      </c>
      <c r="B170" s="70">
        <f>IF(AND(('Monthly Activity Log'!C169&lt;&gt;""),(OR($B$3="All",'Monthly Activity Log'!C169=$B$3)),(OR($E$3="All",'Monthly Activity Log'!B169=$E$3))),'Monthly Activity Log'!B169,"")</f>
        <v/>
      </c>
      <c r="C170" s="70">
        <f>IF(AND(('Monthly Activity Log'!C169&lt;&gt;""),(OR($B$3="All",'Monthly Activity Log'!C169=$B$3)),(OR($E$3="All",'Monthly Activity Log'!B169=$E$3))),'Monthly Activity Log'!C169,"")</f>
        <v/>
      </c>
      <c r="D170" s="70">
        <f>IF(AND(('Monthly Activity Log'!C169&lt;&gt;""),(OR($B$3="All",'Monthly Activity Log'!C169=$B$3)),(OR($E$3="All",'Monthly Activity Log'!B169=$E$3))),'Monthly Activity Log'!D169,"")</f>
        <v/>
      </c>
      <c r="E170" s="70">
        <f>IF(AND(('Monthly Activity Log'!C169&lt;&gt;""),(OR($B$3="All",'Monthly Activity Log'!C169=$B$3)),(OR($E$3="All",'Monthly Activity Log'!B169=$E$3))),'Monthly Activity Log'!E169,"")</f>
        <v/>
      </c>
      <c r="F170" s="70">
        <f>IF(AND(('Monthly Activity Log'!C169&lt;&gt;""),(OR($B$3="All",'Monthly Activity Log'!C169=$B$3)),(OR($E$3="All",'Monthly Activity Log'!B169=$E$3))),'Monthly Activity Log'!F169,"")</f>
        <v/>
      </c>
      <c r="G170" s="70">
        <f>IF(AND(('Monthly Activity Log'!C169&lt;&gt;""),(OR($B$3="All",'Monthly Activity Log'!C169=$B$3)),(OR($E$3="All",'Monthly Activity Log'!B169=$E$3))),'Monthly Activity Log'!G169,"")</f>
        <v/>
      </c>
      <c r="H170" s="70">
        <f>IF(AND(('Monthly Activity Log'!C169&lt;&gt;""),(OR($B$3="All",'Monthly Activity Log'!C169=$B$3)),(OR($E$3="All",'Monthly Activity Log'!B169=$E$3))),'Monthly Activity Log'!H169,"")</f>
        <v/>
      </c>
      <c r="I170" s="70">
        <f>IF(AND(('Monthly Activity Log'!C169&lt;&gt;""),(OR($B$3="All",'Monthly Activity Log'!C169=$B$3)),(OR($E$3="All",'Monthly Activity Log'!B169=$E$3))),'Monthly Activity Log'!I169,"")</f>
        <v/>
      </c>
      <c r="J170" s="70">
        <f>IF(AND(('Monthly Activity Log'!C169&lt;&gt;""),(OR($B$3="All",'Monthly Activity Log'!C169=$B$3)),(OR($E$3="All",'Monthly Activity Log'!B169=$E$3))),'Monthly Activity Log'!J169,"")</f>
        <v/>
      </c>
      <c r="K170" s="70">
        <f>IF(AND(('Monthly Activity Log'!C169&lt;&gt;""),(OR($B$3="All",'Monthly Activity Log'!C169=$B$3)),(OR($E$3="All",'Monthly Activity Log'!B169=$E$3))),'Monthly Activity Log'!K169,"")</f>
        <v/>
      </c>
    </row>
    <row r="171" ht="15.75" customHeight="1" s="65">
      <c r="A171" s="73">
        <f>IF(AND(('Monthly Activity Log'!C170&lt;&gt;""),(OR($B$3="All",'Monthly Activity Log'!C170=$B$3)),(OR($E$3="All",'Monthly Activity Log'!B170=$E$3))),ROW()-4,"")</f>
        <v/>
      </c>
      <c r="B171" s="74">
        <f>IF(AND(('Monthly Activity Log'!C170&lt;&gt;""),(OR($B$3="All",'Monthly Activity Log'!C170=$B$3)),(OR($E$3="All",'Monthly Activity Log'!B170=$E$3))),'Monthly Activity Log'!B170,"")</f>
        <v/>
      </c>
      <c r="C171" s="74">
        <f>IF(AND(('Monthly Activity Log'!C170&lt;&gt;""),(OR($B$3="All",'Monthly Activity Log'!C170=$B$3)),(OR($E$3="All",'Monthly Activity Log'!B170=$E$3))),'Monthly Activity Log'!C170,"")</f>
        <v/>
      </c>
      <c r="D171" s="74">
        <f>IF(AND(('Monthly Activity Log'!C170&lt;&gt;""),(OR($B$3="All",'Monthly Activity Log'!C170=$B$3)),(OR($E$3="All",'Monthly Activity Log'!B170=$E$3))),'Monthly Activity Log'!D170,"")</f>
        <v/>
      </c>
      <c r="E171" s="74">
        <f>IF(AND(('Monthly Activity Log'!C170&lt;&gt;""),(OR($B$3="All",'Monthly Activity Log'!C170=$B$3)),(OR($E$3="All",'Monthly Activity Log'!B170=$E$3))),'Monthly Activity Log'!E170,"")</f>
        <v/>
      </c>
      <c r="F171" s="74">
        <f>IF(AND(('Monthly Activity Log'!C170&lt;&gt;""),(OR($B$3="All",'Monthly Activity Log'!C170=$B$3)),(OR($E$3="All",'Monthly Activity Log'!B170=$E$3))),'Monthly Activity Log'!F170,"")</f>
        <v/>
      </c>
      <c r="G171" s="74">
        <f>IF(AND(('Monthly Activity Log'!C170&lt;&gt;""),(OR($B$3="All",'Monthly Activity Log'!C170=$B$3)),(OR($E$3="All",'Monthly Activity Log'!B170=$E$3))),'Monthly Activity Log'!G170,"")</f>
        <v/>
      </c>
      <c r="H171" s="74">
        <f>IF(AND(('Monthly Activity Log'!C170&lt;&gt;""),(OR($B$3="All",'Monthly Activity Log'!C170=$B$3)),(OR($E$3="All",'Monthly Activity Log'!B170=$E$3))),'Monthly Activity Log'!H170,"")</f>
        <v/>
      </c>
      <c r="I171" s="74">
        <f>IF(AND(('Monthly Activity Log'!C170&lt;&gt;""),(OR($B$3="All",'Monthly Activity Log'!C170=$B$3)),(OR($E$3="All",'Monthly Activity Log'!B170=$E$3))),'Monthly Activity Log'!I170,"")</f>
        <v/>
      </c>
      <c r="J171" s="74">
        <f>IF(AND(('Monthly Activity Log'!C170&lt;&gt;""),(OR($B$3="All",'Monthly Activity Log'!C170=$B$3)),(OR($E$3="All",'Monthly Activity Log'!B170=$E$3))),'Monthly Activity Log'!J170,"")</f>
        <v/>
      </c>
      <c r="K171" s="74">
        <f>IF(AND(('Monthly Activity Log'!C170&lt;&gt;""),(OR($B$3="All",'Monthly Activity Log'!C170=$B$3)),(OR($E$3="All",'Monthly Activity Log'!B170=$E$3))),'Monthly Activity Log'!K170,"")</f>
        <v/>
      </c>
    </row>
    <row r="172" ht="15.75" customHeight="1" s="65">
      <c r="A172" s="69">
        <f>IF(AND(('Monthly Activity Log'!C171&lt;&gt;""),(OR($B$3="All",'Monthly Activity Log'!C171=$B$3)),(OR($E$3="All",'Monthly Activity Log'!B171=$E$3))),ROW()-4,"")</f>
        <v/>
      </c>
      <c r="B172" s="70">
        <f>IF(AND(('Monthly Activity Log'!C171&lt;&gt;""),(OR($B$3="All",'Monthly Activity Log'!C171=$B$3)),(OR($E$3="All",'Monthly Activity Log'!B171=$E$3))),'Monthly Activity Log'!B171,"")</f>
        <v/>
      </c>
      <c r="C172" s="70">
        <f>IF(AND(('Monthly Activity Log'!C171&lt;&gt;""),(OR($B$3="All",'Monthly Activity Log'!C171=$B$3)),(OR($E$3="All",'Monthly Activity Log'!B171=$E$3))),'Monthly Activity Log'!C171,"")</f>
        <v/>
      </c>
      <c r="D172" s="70">
        <f>IF(AND(('Monthly Activity Log'!C171&lt;&gt;""),(OR($B$3="All",'Monthly Activity Log'!C171=$B$3)),(OR($E$3="All",'Monthly Activity Log'!B171=$E$3))),'Monthly Activity Log'!D171,"")</f>
        <v/>
      </c>
      <c r="E172" s="70">
        <f>IF(AND(('Monthly Activity Log'!C171&lt;&gt;""),(OR($B$3="All",'Monthly Activity Log'!C171=$B$3)),(OR($E$3="All",'Monthly Activity Log'!B171=$E$3))),'Monthly Activity Log'!E171,"")</f>
        <v/>
      </c>
      <c r="F172" s="70">
        <f>IF(AND(('Monthly Activity Log'!C171&lt;&gt;""),(OR($B$3="All",'Monthly Activity Log'!C171=$B$3)),(OR($E$3="All",'Monthly Activity Log'!B171=$E$3))),'Monthly Activity Log'!F171,"")</f>
        <v/>
      </c>
      <c r="G172" s="70">
        <f>IF(AND(('Monthly Activity Log'!C171&lt;&gt;""),(OR($B$3="All",'Monthly Activity Log'!C171=$B$3)),(OR($E$3="All",'Monthly Activity Log'!B171=$E$3))),'Monthly Activity Log'!G171,"")</f>
        <v/>
      </c>
      <c r="H172" s="70">
        <f>IF(AND(('Monthly Activity Log'!C171&lt;&gt;""),(OR($B$3="All",'Monthly Activity Log'!C171=$B$3)),(OR($E$3="All",'Monthly Activity Log'!B171=$E$3))),'Monthly Activity Log'!H171,"")</f>
        <v/>
      </c>
      <c r="I172" s="70">
        <f>IF(AND(('Monthly Activity Log'!C171&lt;&gt;""),(OR($B$3="All",'Monthly Activity Log'!C171=$B$3)),(OR($E$3="All",'Monthly Activity Log'!B171=$E$3))),'Monthly Activity Log'!I171,"")</f>
        <v/>
      </c>
      <c r="J172" s="70">
        <f>IF(AND(('Monthly Activity Log'!C171&lt;&gt;""),(OR($B$3="All",'Monthly Activity Log'!C171=$B$3)),(OR($E$3="All",'Monthly Activity Log'!B171=$E$3))),'Monthly Activity Log'!J171,"")</f>
        <v/>
      </c>
      <c r="K172" s="70">
        <f>IF(AND(('Monthly Activity Log'!C171&lt;&gt;""),(OR($B$3="All",'Monthly Activity Log'!C171=$B$3)),(OR($E$3="All",'Monthly Activity Log'!B171=$E$3))),'Monthly Activity Log'!K171,"")</f>
        <v/>
      </c>
    </row>
    <row r="173" ht="15.75" customHeight="1" s="65">
      <c r="A173" s="73">
        <f>IF(AND(('Monthly Activity Log'!C172&lt;&gt;""),(OR($B$3="All",'Monthly Activity Log'!C172=$B$3)),(OR($E$3="All",'Monthly Activity Log'!B172=$E$3))),ROW()-4,"")</f>
        <v/>
      </c>
      <c r="B173" s="74">
        <f>IF(AND(('Monthly Activity Log'!C172&lt;&gt;""),(OR($B$3="All",'Monthly Activity Log'!C172=$B$3)),(OR($E$3="All",'Monthly Activity Log'!B172=$E$3))),'Monthly Activity Log'!B172,"")</f>
        <v/>
      </c>
      <c r="C173" s="74">
        <f>IF(AND(('Monthly Activity Log'!C172&lt;&gt;""),(OR($B$3="All",'Monthly Activity Log'!C172=$B$3)),(OR($E$3="All",'Monthly Activity Log'!B172=$E$3))),'Monthly Activity Log'!C172,"")</f>
        <v/>
      </c>
      <c r="D173" s="74">
        <f>IF(AND(('Monthly Activity Log'!C172&lt;&gt;""),(OR($B$3="All",'Monthly Activity Log'!C172=$B$3)),(OR($E$3="All",'Monthly Activity Log'!B172=$E$3))),'Monthly Activity Log'!D172,"")</f>
        <v/>
      </c>
      <c r="E173" s="74">
        <f>IF(AND(('Monthly Activity Log'!C172&lt;&gt;""),(OR($B$3="All",'Monthly Activity Log'!C172=$B$3)),(OR($E$3="All",'Monthly Activity Log'!B172=$E$3))),'Monthly Activity Log'!E172,"")</f>
        <v/>
      </c>
      <c r="F173" s="74">
        <f>IF(AND(('Monthly Activity Log'!C172&lt;&gt;""),(OR($B$3="All",'Monthly Activity Log'!C172=$B$3)),(OR($E$3="All",'Monthly Activity Log'!B172=$E$3))),'Monthly Activity Log'!F172,"")</f>
        <v/>
      </c>
      <c r="G173" s="74">
        <f>IF(AND(('Monthly Activity Log'!C172&lt;&gt;""),(OR($B$3="All",'Monthly Activity Log'!C172=$B$3)),(OR($E$3="All",'Monthly Activity Log'!B172=$E$3))),'Monthly Activity Log'!G172,"")</f>
        <v/>
      </c>
      <c r="H173" s="74">
        <f>IF(AND(('Monthly Activity Log'!C172&lt;&gt;""),(OR($B$3="All",'Monthly Activity Log'!C172=$B$3)),(OR($E$3="All",'Monthly Activity Log'!B172=$E$3))),'Monthly Activity Log'!H172,"")</f>
        <v/>
      </c>
      <c r="I173" s="74">
        <f>IF(AND(('Monthly Activity Log'!C172&lt;&gt;""),(OR($B$3="All",'Monthly Activity Log'!C172=$B$3)),(OR($E$3="All",'Monthly Activity Log'!B172=$E$3))),'Monthly Activity Log'!I172,"")</f>
        <v/>
      </c>
      <c r="J173" s="74">
        <f>IF(AND(('Monthly Activity Log'!C172&lt;&gt;""),(OR($B$3="All",'Monthly Activity Log'!C172=$B$3)),(OR($E$3="All",'Monthly Activity Log'!B172=$E$3))),'Monthly Activity Log'!J172,"")</f>
        <v/>
      </c>
      <c r="K173" s="74">
        <f>IF(AND(('Monthly Activity Log'!C172&lt;&gt;""),(OR($B$3="All",'Monthly Activity Log'!C172=$B$3)),(OR($E$3="All",'Monthly Activity Log'!B172=$E$3))),'Monthly Activity Log'!K172,"")</f>
        <v/>
      </c>
    </row>
    <row r="174" ht="15.75" customHeight="1" s="65">
      <c r="A174" s="69">
        <f>IF(AND(('Monthly Activity Log'!C173&lt;&gt;""),(OR($B$3="All",'Monthly Activity Log'!C173=$B$3)),(OR($E$3="All",'Monthly Activity Log'!B173=$E$3))),ROW()-4,"")</f>
        <v/>
      </c>
      <c r="B174" s="70">
        <f>IF(AND(('Monthly Activity Log'!C173&lt;&gt;""),(OR($B$3="All",'Monthly Activity Log'!C173=$B$3)),(OR($E$3="All",'Monthly Activity Log'!B173=$E$3))),'Monthly Activity Log'!B173,"")</f>
        <v/>
      </c>
      <c r="C174" s="70">
        <f>IF(AND(('Monthly Activity Log'!C173&lt;&gt;""),(OR($B$3="All",'Monthly Activity Log'!C173=$B$3)),(OR($E$3="All",'Monthly Activity Log'!B173=$E$3))),'Monthly Activity Log'!C173,"")</f>
        <v/>
      </c>
      <c r="D174" s="70">
        <f>IF(AND(('Monthly Activity Log'!C173&lt;&gt;""),(OR($B$3="All",'Monthly Activity Log'!C173=$B$3)),(OR($E$3="All",'Monthly Activity Log'!B173=$E$3))),'Monthly Activity Log'!D173,"")</f>
        <v/>
      </c>
      <c r="E174" s="70">
        <f>IF(AND(('Monthly Activity Log'!C173&lt;&gt;""),(OR($B$3="All",'Monthly Activity Log'!C173=$B$3)),(OR($E$3="All",'Monthly Activity Log'!B173=$E$3))),'Monthly Activity Log'!E173,"")</f>
        <v/>
      </c>
      <c r="F174" s="70">
        <f>IF(AND(('Monthly Activity Log'!C173&lt;&gt;""),(OR($B$3="All",'Monthly Activity Log'!C173=$B$3)),(OR($E$3="All",'Monthly Activity Log'!B173=$E$3))),'Monthly Activity Log'!F173,"")</f>
        <v/>
      </c>
      <c r="G174" s="70">
        <f>IF(AND(('Monthly Activity Log'!C173&lt;&gt;""),(OR($B$3="All",'Monthly Activity Log'!C173=$B$3)),(OR($E$3="All",'Monthly Activity Log'!B173=$E$3))),'Monthly Activity Log'!G173,"")</f>
        <v/>
      </c>
      <c r="H174" s="70">
        <f>IF(AND(('Monthly Activity Log'!C173&lt;&gt;""),(OR($B$3="All",'Monthly Activity Log'!C173=$B$3)),(OR($E$3="All",'Monthly Activity Log'!B173=$E$3))),'Monthly Activity Log'!H173,"")</f>
        <v/>
      </c>
      <c r="I174" s="70">
        <f>IF(AND(('Monthly Activity Log'!C173&lt;&gt;""),(OR($B$3="All",'Monthly Activity Log'!C173=$B$3)),(OR($E$3="All",'Monthly Activity Log'!B173=$E$3))),'Monthly Activity Log'!I173,"")</f>
        <v/>
      </c>
      <c r="J174" s="70">
        <f>IF(AND(('Monthly Activity Log'!C173&lt;&gt;""),(OR($B$3="All",'Monthly Activity Log'!C173=$B$3)),(OR($E$3="All",'Monthly Activity Log'!B173=$E$3))),'Monthly Activity Log'!J173,"")</f>
        <v/>
      </c>
      <c r="K174" s="70">
        <f>IF(AND(('Monthly Activity Log'!C173&lt;&gt;""),(OR($B$3="All",'Monthly Activity Log'!C173=$B$3)),(OR($E$3="All",'Monthly Activity Log'!B173=$E$3))),'Monthly Activity Log'!K173,"")</f>
        <v/>
      </c>
    </row>
    <row r="175" ht="15.75" customHeight="1" s="65">
      <c r="A175" s="73">
        <f>IF(AND(('Monthly Activity Log'!C174&lt;&gt;""),(OR($B$3="All",'Monthly Activity Log'!C174=$B$3)),(OR($E$3="All",'Monthly Activity Log'!B174=$E$3))),ROW()-4,"")</f>
        <v/>
      </c>
      <c r="B175" s="74">
        <f>IF(AND(('Monthly Activity Log'!C174&lt;&gt;""),(OR($B$3="All",'Monthly Activity Log'!C174=$B$3)),(OR($E$3="All",'Monthly Activity Log'!B174=$E$3))),'Monthly Activity Log'!B174,"")</f>
        <v/>
      </c>
      <c r="C175" s="74">
        <f>IF(AND(('Monthly Activity Log'!C174&lt;&gt;""),(OR($B$3="All",'Monthly Activity Log'!C174=$B$3)),(OR($E$3="All",'Monthly Activity Log'!B174=$E$3))),'Monthly Activity Log'!C174,"")</f>
        <v/>
      </c>
      <c r="D175" s="74">
        <f>IF(AND(('Monthly Activity Log'!C174&lt;&gt;""),(OR($B$3="All",'Monthly Activity Log'!C174=$B$3)),(OR($E$3="All",'Monthly Activity Log'!B174=$E$3))),'Monthly Activity Log'!D174,"")</f>
        <v/>
      </c>
      <c r="E175" s="74">
        <f>IF(AND(('Monthly Activity Log'!C174&lt;&gt;""),(OR($B$3="All",'Monthly Activity Log'!C174=$B$3)),(OR($E$3="All",'Monthly Activity Log'!B174=$E$3))),'Monthly Activity Log'!E174,"")</f>
        <v/>
      </c>
      <c r="F175" s="74">
        <f>IF(AND(('Monthly Activity Log'!C174&lt;&gt;""),(OR($B$3="All",'Monthly Activity Log'!C174=$B$3)),(OR($E$3="All",'Monthly Activity Log'!B174=$E$3))),'Monthly Activity Log'!F174,"")</f>
        <v/>
      </c>
      <c r="G175" s="74">
        <f>IF(AND(('Monthly Activity Log'!C174&lt;&gt;""),(OR($B$3="All",'Monthly Activity Log'!C174=$B$3)),(OR($E$3="All",'Monthly Activity Log'!B174=$E$3))),'Monthly Activity Log'!G174,"")</f>
        <v/>
      </c>
      <c r="H175" s="74">
        <f>IF(AND(('Monthly Activity Log'!C174&lt;&gt;""),(OR($B$3="All",'Monthly Activity Log'!C174=$B$3)),(OR($E$3="All",'Monthly Activity Log'!B174=$E$3))),'Monthly Activity Log'!H174,"")</f>
        <v/>
      </c>
      <c r="I175" s="74">
        <f>IF(AND(('Monthly Activity Log'!C174&lt;&gt;""),(OR($B$3="All",'Monthly Activity Log'!C174=$B$3)),(OR($E$3="All",'Monthly Activity Log'!B174=$E$3))),'Monthly Activity Log'!I174,"")</f>
        <v/>
      </c>
      <c r="J175" s="74">
        <f>IF(AND(('Monthly Activity Log'!C174&lt;&gt;""),(OR($B$3="All",'Monthly Activity Log'!C174=$B$3)),(OR($E$3="All",'Monthly Activity Log'!B174=$E$3))),'Monthly Activity Log'!J174,"")</f>
        <v/>
      </c>
      <c r="K175" s="74">
        <f>IF(AND(('Monthly Activity Log'!C174&lt;&gt;""),(OR($B$3="All",'Monthly Activity Log'!C174=$B$3)),(OR($E$3="All",'Monthly Activity Log'!B174=$E$3))),'Monthly Activity Log'!K174,"")</f>
        <v/>
      </c>
    </row>
    <row r="176" ht="15.75" customHeight="1" s="65">
      <c r="A176" s="69">
        <f>IF(AND(('Monthly Activity Log'!C175&lt;&gt;""),(OR($B$3="All",'Monthly Activity Log'!C175=$B$3)),(OR($E$3="All",'Monthly Activity Log'!B175=$E$3))),ROW()-4,"")</f>
        <v/>
      </c>
      <c r="B176" s="70">
        <f>IF(AND(('Monthly Activity Log'!C175&lt;&gt;""),(OR($B$3="All",'Monthly Activity Log'!C175=$B$3)),(OR($E$3="All",'Monthly Activity Log'!B175=$E$3))),'Monthly Activity Log'!B175,"")</f>
        <v/>
      </c>
      <c r="C176" s="70">
        <f>IF(AND(('Monthly Activity Log'!C175&lt;&gt;""),(OR($B$3="All",'Monthly Activity Log'!C175=$B$3)),(OR($E$3="All",'Monthly Activity Log'!B175=$E$3))),'Monthly Activity Log'!C175,"")</f>
        <v/>
      </c>
      <c r="D176" s="70">
        <f>IF(AND(('Monthly Activity Log'!C175&lt;&gt;""),(OR($B$3="All",'Monthly Activity Log'!C175=$B$3)),(OR($E$3="All",'Monthly Activity Log'!B175=$E$3))),'Monthly Activity Log'!D175,"")</f>
        <v/>
      </c>
      <c r="E176" s="70">
        <f>IF(AND(('Monthly Activity Log'!C175&lt;&gt;""),(OR($B$3="All",'Monthly Activity Log'!C175=$B$3)),(OR($E$3="All",'Monthly Activity Log'!B175=$E$3))),'Monthly Activity Log'!E175,"")</f>
        <v/>
      </c>
      <c r="F176" s="70">
        <f>IF(AND(('Monthly Activity Log'!C175&lt;&gt;""),(OR($B$3="All",'Monthly Activity Log'!C175=$B$3)),(OR($E$3="All",'Monthly Activity Log'!B175=$E$3))),'Monthly Activity Log'!F175,"")</f>
        <v/>
      </c>
      <c r="G176" s="70">
        <f>IF(AND(('Monthly Activity Log'!C175&lt;&gt;""),(OR($B$3="All",'Monthly Activity Log'!C175=$B$3)),(OR($E$3="All",'Monthly Activity Log'!B175=$E$3))),'Monthly Activity Log'!G175,"")</f>
        <v/>
      </c>
      <c r="H176" s="70">
        <f>IF(AND(('Monthly Activity Log'!C175&lt;&gt;""),(OR($B$3="All",'Monthly Activity Log'!C175=$B$3)),(OR($E$3="All",'Monthly Activity Log'!B175=$E$3))),'Monthly Activity Log'!H175,"")</f>
        <v/>
      </c>
      <c r="I176" s="70">
        <f>IF(AND(('Monthly Activity Log'!C175&lt;&gt;""),(OR($B$3="All",'Monthly Activity Log'!C175=$B$3)),(OR($E$3="All",'Monthly Activity Log'!B175=$E$3))),'Monthly Activity Log'!I175,"")</f>
        <v/>
      </c>
      <c r="J176" s="70">
        <f>IF(AND(('Monthly Activity Log'!C175&lt;&gt;""),(OR($B$3="All",'Monthly Activity Log'!C175=$B$3)),(OR($E$3="All",'Monthly Activity Log'!B175=$E$3))),'Monthly Activity Log'!J175,"")</f>
        <v/>
      </c>
      <c r="K176" s="70">
        <f>IF(AND(('Monthly Activity Log'!C175&lt;&gt;""),(OR($B$3="All",'Monthly Activity Log'!C175=$B$3)),(OR($E$3="All",'Monthly Activity Log'!B175=$E$3))),'Monthly Activity Log'!K175,"")</f>
        <v/>
      </c>
    </row>
    <row r="177" ht="15.75" customHeight="1" s="65">
      <c r="A177" s="73">
        <f>IF(AND(('Monthly Activity Log'!C176&lt;&gt;""),(OR($B$3="All",'Monthly Activity Log'!C176=$B$3)),(OR($E$3="All",'Monthly Activity Log'!B176=$E$3))),ROW()-4,"")</f>
        <v/>
      </c>
      <c r="B177" s="74">
        <f>IF(AND(('Monthly Activity Log'!C176&lt;&gt;""),(OR($B$3="All",'Monthly Activity Log'!C176=$B$3)),(OR($E$3="All",'Monthly Activity Log'!B176=$E$3))),'Monthly Activity Log'!B176,"")</f>
        <v/>
      </c>
      <c r="C177" s="74">
        <f>IF(AND(('Monthly Activity Log'!C176&lt;&gt;""),(OR($B$3="All",'Monthly Activity Log'!C176=$B$3)),(OR($E$3="All",'Monthly Activity Log'!B176=$E$3))),'Monthly Activity Log'!C176,"")</f>
        <v/>
      </c>
      <c r="D177" s="74">
        <f>IF(AND(('Monthly Activity Log'!C176&lt;&gt;""),(OR($B$3="All",'Monthly Activity Log'!C176=$B$3)),(OR($E$3="All",'Monthly Activity Log'!B176=$E$3))),'Monthly Activity Log'!D176,"")</f>
        <v/>
      </c>
      <c r="E177" s="74">
        <f>IF(AND(('Monthly Activity Log'!C176&lt;&gt;""),(OR($B$3="All",'Monthly Activity Log'!C176=$B$3)),(OR($E$3="All",'Monthly Activity Log'!B176=$E$3))),'Monthly Activity Log'!E176,"")</f>
        <v/>
      </c>
      <c r="F177" s="74">
        <f>IF(AND(('Monthly Activity Log'!C176&lt;&gt;""),(OR($B$3="All",'Monthly Activity Log'!C176=$B$3)),(OR($E$3="All",'Monthly Activity Log'!B176=$E$3))),'Monthly Activity Log'!F176,"")</f>
        <v/>
      </c>
      <c r="G177" s="74">
        <f>IF(AND(('Monthly Activity Log'!C176&lt;&gt;""),(OR($B$3="All",'Monthly Activity Log'!C176=$B$3)),(OR($E$3="All",'Monthly Activity Log'!B176=$E$3))),'Monthly Activity Log'!G176,"")</f>
        <v/>
      </c>
      <c r="H177" s="74">
        <f>IF(AND(('Monthly Activity Log'!C176&lt;&gt;""),(OR($B$3="All",'Monthly Activity Log'!C176=$B$3)),(OR($E$3="All",'Monthly Activity Log'!B176=$E$3))),'Monthly Activity Log'!H176,"")</f>
        <v/>
      </c>
      <c r="I177" s="74">
        <f>IF(AND(('Monthly Activity Log'!C176&lt;&gt;""),(OR($B$3="All",'Monthly Activity Log'!C176=$B$3)),(OR($E$3="All",'Monthly Activity Log'!B176=$E$3))),'Monthly Activity Log'!I176,"")</f>
        <v/>
      </c>
      <c r="J177" s="74">
        <f>IF(AND(('Monthly Activity Log'!C176&lt;&gt;""),(OR($B$3="All",'Monthly Activity Log'!C176=$B$3)),(OR($E$3="All",'Monthly Activity Log'!B176=$E$3))),'Monthly Activity Log'!J176,"")</f>
        <v/>
      </c>
      <c r="K177" s="74">
        <f>IF(AND(('Monthly Activity Log'!C176&lt;&gt;""),(OR($B$3="All",'Monthly Activity Log'!C176=$B$3)),(OR($E$3="All",'Monthly Activity Log'!B176=$E$3))),'Monthly Activity Log'!K176,"")</f>
        <v/>
      </c>
    </row>
    <row r="178" ht="15.75" customHeight="1" s="65">
      <c r="A178" s="69">
        <f>IF(AND(('Monthly Activity Log'!C177&lt;&gt;""),(OR($B$3="All",'Monthly Activity Log'!C177=$B$3)),(OR($E$3="All",'Monthly Activity Log'!B177=$E$3))),ROW()-4,"")</f>
        <v/>
      </c>
      <c r="B178" s="70">
        <f>IF(AND(('Monthly Activity Log'!C177&lt;&gt;""),(OR($B$3="All",'Monthly Activity Log'!C177=$B$3)),(OR($E$3="All",'Monthly Activity Log'!B177=$E$3))),'Monthly Activity Log'!B177,"")</f>
        <v/>
      </c>
      <c r="C178" s="70">
        <f>IF(AND(('Monthly Activity Log'!C177&lt;&gt;""),(OR($B$3="All",'Monthly Activity Log'!C177=$B$3)),(OR($E$3="All",'Monthly Activity Log'!B177=$E$3))),'Monthly Activity Log'!C177,"")</f>
        <v/>
      </c>
      <c r="D178" s="70">
        <f>IF(AND(('Monthly Activity Log'!C177&lt;&gt;""),(OR($B$3="All",'Monthly Activity Log'!C177=$B$3)),(OR($E$3="All",'Monthly Activity Log'!B177=$E$3))),'Monthly Activity Log'!D177,"")</f>
        <v/>
      </c>
      <c r="E178" s="70">
        <f>IF(AND(('Monthly Activity Log'!C177&lt;&gt;""),(OR($B$3="All",'Monthly Activity Log'!C177=$B$3)),(OR($E$3="All",'Monthly Activity Log'!B177=$E$3))),'Monthly Activity Log'!E177,"")</f>
        <v/>
      </c>
      <c r="F178" s="70">
        <f>IF(AND(('Monthly Activity Log'!C177&lt;&gt;""),(OR($B$3="All",'Monthly Activity Log'!C177=$B$3)),(OR($E$3="All",'Monthly Activity Log'!B177=$E$3))),'Monthly Activity Log'!F177,"")</f>
        <v/>
      </c>
      <c r="G178" s="70">
        <f>IF(AND(('Monthly Activity Log'!C177&lt;&gt;""),(OR($B$3="All",'Monthly Activity Log'!C177=$B$3)),(OR($E$3="All",'Monthly Activity Log'!B177=$E$3))),'Monthly Activity Log'!G177,"")</f>
        <v/>
      </c>
      <c r="H178" s="70">
        <f>IF(AND(('Monthly Activity Log'!C177&lt;&gt;""),(OR($B$3="All",'Monthly Activity Log'!C177=$B$3)),(OR($E$3="All",'Monthly Activity Log'!B177=$E$3))),'Monthly Activity Log'!H177,"")</f>
        <v/>
      </c>
      <c r="I178" s="70">
        <f>IF(AND(('Monthly Activity Log'!C177&lt;&gt;""),(OR($B$3="All",'Monthly Activity Log'!C177=$B$3)),(OR($E$3="All",'Monthly Activity Log'!B177=$E$3))),'Monthly Activity Log'!I177,"")</f>
        <v/>
      </c>
      <c r="J178" s="70">
        <f>IF(AND(('Monthly Activity Log'!C177&lt;&gt;""),(OR($B$3="All",'Monthly Activity Log'!C177=$B$3)),(OR($E$3="All",'Monthly Activity Log'!B177=$E$3))),'Monthly Activity Log'!J177,"")</f>
        <v/>
      </c>
      <c r="K178" s="70">
        <f>IF(AND(('Monthly Activity Log'!C177&lt;&gt;""),(OR($B$3="All",'Monthly Activity Log'!C177=$B$3)),(OR($E$3="All",'Monthly Activity Log'!B177=$E$3))),'Monthly Activity Log'!K177,"")</f>
        <v/>
      </c>
    </row>
    <row r="179" ht="15.75" customHeight="1" s="65">
      <c r="A179" s="73">
        <f>IF(AND(('Monthly Activity Log'!C178&lt;&gt;""),(OR($B$3="All",'Monthly Activity Log'!C178=$B$3)),(OR($E$3="All",'Monthly Activity Log'!B178=$E$3))),ROW()-4,"")</f>
        <v/>
      </c>
      <c r="B179" s="74">
        <f>IF(AND(('Monthly Activity Log'!C178&lt;&gt;""),(OR($B$3="All",'Monthly Activity Log'!C178=$B$3)),(OR($E$3="All",'Monthly Activity Log'!B178=$E$3))),'Monthly Activity Log'!B178,"")</f>
        <v/>
      </c>
      <c r="C179" s="74">
        <f>IF(AND(('Monthly Activity Log'!C178&lt;&gt;""),(OR($B$3="All",'Monthly Activity Log'!C178=$B$3)),(OR($E$3="All",'Monthly Activity Log'!B178=$E$3))),'Monthly Activity Log'!C178,"")</f>
        <v/>
      </c>
      <c r="D179" s="74">
        <f>IF(AND(('Monthly Activity Log'!C178&lt;&gt;""),(OR($B$3="All",'Monthly Activity Log'!C178=$B$3)),(OR($E$3="All",'Monthly Activity Log'!B178=$E$3))),'Monthly Activity Log'!D178,"")</f>
        <v/>
      </c>
      <c r="E179" s="74">
        <f>IF(AND(('Monthly Activity Log'!C178&lt;&gt;""),(OR($B$3="All",'Monthly Activity Log'!C178=$B$3)),(OR($E$3="All",'Monthly Activity Log'!B178=$E$3))),'Monthly Activity Log'!E178,"")</f>
        <v/>
      </c>
      <c r="F179" s="74">
        <f>IF(AND(('Monthly Activity Log'!C178&lt;&gt;""),(OR($B$3="All",'Monthly Activity Log'!C178=$B$3)),(OR($E$3="All",'Monthly Activity Log'!B178=$E$3))),'Monthly Activity Log'!F178,"")</f>
        <v/>
      </c>
      <c r="G179" s="74">
        <f>IF(AND(('Monthly Activity Log'!C178&lt;&gt;""),(OR($B$3="All",'Monthly Activity Log'!C178=$B$3)),(OR($E$3="All",'Monthly Activity Log'!B178=$E$3))),'Monthly Activity Log'!G178,"")</f>
        <v/>
      </c>
      <c r="H179" s="74">
        <f>IF(AND(('Monthly Activity Log'!C178&lt;&gt;""),(OR($B$3="All",'Monthly Activity Log'!C178=$B$3)),(OR($E$3="All",'Monthly Activity Log'!B178=$E$3))),'Monthly Activity Log'!H178,"")</f>
        <v/>
      </c>
      <c r="I179" s="74">
        <f>IF(AND(('Monthly Activity Log'!C178&lt;&gt;""),(OR($B$3="All",'Monthly Activity Log'!C178=$B$3)),(OR($E$3="All",'Monthly Activity Log'!B178=$E$3))),'Monthly Activity Log'!I178,"")</f>
        <v/>
      </c>
      <c r="J179" s="74">
        <f>IF(AND(('Monthly Activity Log'!C178&lt;&gt;""),(OR($B$3="All",'Monthly Activity Log'!C178=$B$3)),(OR($E$3="All",'Monthly Activity Log'!B178=$E$3))),'Monthly Activity Log'!J178,"")</f>
        <v/>
      </c>
      <c r="K179" s="74">
        <f>IF(AND(('Monthly Activity Log'!C178&lt;&gt;""),(OR($B$3="All",'Monthly Activity Log'!C178=$B$3)),(OR($E$3="All",'Monthly Activity Log'!B178=$E$3))),'Monthly Activity Log'!K178,"")</f>
        <v/>
      </c>
    </row>
    <row r="180" ht="15.75" customHeight="1" s="65">
      <c r="A180" s="69">
        <f>IF(AND(('Monthly Activity Log'!C179&lt;&gt;""),(OR($B$3="All",'Monthly Activity Log'!C179=$B$3)),(OR($E$3="All",'Monthly Activity Log'!B179=$E$3))),ROW()-4,"")</f>
        <v/>
      </c>
      <c r="B180" s="70">
        <f>IF(AND(('Monthly Activity Log'!C179&lt;&gt;""),(OR($B$3="All",'Monthly Activity Log'!C179=$B$3)),(OR($E$3="All",'Monthly Activity Log'!B179=$E$3))),'Monthly Activity Log'!B179,"")</f>
        <v/>
      </c>
      <c r="C180" s="70">
        <f>IF(AND(('Monthly Activity Log'!C179&lt;&gt;""),(OR($B$3="All",'Monthly Activity Log'!C179=$B$3)),(OR($E$3="All",'Monthly Activity Log'!B179=$E$3))),'Monthly Activity Log'!C179,"")</f>
        <v/>
      </c>
      <c r="D180" s="70">
        <f>IF(AND(('Monthly Activity Log'!C179&lt;&gt;""),(OR($B$3="All",'Monthly Activity Log'!C179=$B$3)),(OR($E$3="All",'Monthly Activity Log'!B179=$E$3))),'Monthly Activity Log'!D179,"")</f>
        <v/>
      </c>
      <c r="E180" s="70">
        <f>IF(AND(('Monthly Activity Log'!C179&lt;&gt;""),(OR($B$3="All",'Monthly Activity Log'!C179=$B$3)),(OR($E$3="All",'Monthly Activity Log'!B179=$E$3))),'Monthly Activity Log'!E179,"")</f>
        <v/>
      </c>
      <c r="F180" s="70">
        <f>IF(AND(('Monthly Activity Log'!C179&lt;&gt;""),(OR($B$3="All",'Monthly Activity Log'!C179=$B$3)),(OR($E$3="All",'Monthly Activity Log'!B179=$E$3))),'Monthly Activity Log'!F179,"")</f>
        <v/>
      </c>
      <c r="G180" s="70">
        <f>IF(AND(('Monthly Activity Log'!C179&lt;&gt;""),(OR($B$3="All",'Monthly Activity Log'!C179=$B$3)),(OR($E$3="All",'Monthly Activity Log'!B179=$E$3))),'Monthly Activity Log'!G179,"")</f>
        <v/>
      </c>
      <c r="H180" s="70">
        <f>IF(AND(('Monthly Activity Log'!C179&lt;&gt;""),(OR($B$3="All",'Monthly Activity Log'!C179=$B$3)),(OR($E$3="All",'Monthly Activity Log'!B179=$E$3))),'Monthly Activity Log'!H179,"")</f>
        <v/>
      </c>
      <c r="I180" s="70">
        <f>IF(AND(('Monthly Activity Log'!C179&lt;&gt;""),(OR($B$3="All",'Monthly Activity Log'!C179=$B$3)),(OR($E$3="All",'Monthly Activity Log'!B179=$E$3))),'Monthly Activity Log'!I179,"")</f>
        <v/>
      </c>
      <c r="J180" s="70">
        <f>IF(AND(('Monthly Activity Log'!C179&lt;&gt;""),(OR($B$3="All",'Monthly Activity Log'!C179=$B$3)),(OR($E$3="All",'Monthly Activity Log'!B179=$E$3))),'Monthly Activity Log'!J179,"")</f>
        <v/>
      </c>
      <c r="K180" s="70">
        <f>IF(AND(('Monthly Activity Log'!C179&lt;&gt;""),(OR($B$3="All",'Monthly Activity Log'!C179=$B$3)),(OR($E$3="All",'Monthly Activity Log'!B179=$E$3))),'Monthly Activity Log'!K179,"")</f>
        <v/>
      </c>
    </row>
    <row r="181" ht="15.75" customHeight="1" s="65">
      <c r="A181" s="73">
        <f>IF(AND(('Monthly Activity Log'!C180&lt;&gt;""),(OR($B$3="All",'Monthly Activity Log'!C180=$B$3)),(OR($E$3="All",'Monthly Activity Log'!B180=$E$3))),ROW()-4,"")</f>
        <v/>
      </c>
      <c r="B181" s="74">
        <f>IF(AND(('Monthly Activity Log'!C180&lt;&gt;""),(OR($B$3="All",'Monthly Activity Log'!C180=$B$3)),(OR($E$3="All",'Monthly Activity Log'!B180=$E$3))),'Monthly Activity Log'!B180,"")</f>
        <v/>
      </c>
      <c r="C181" s="74">
        <f>IF(AND(('Monthly Activity Log'!C180&lt;&gt;""),(OR($B$3="All",'Monthly Activity Log'!C180=$B$3)),(OR($E$3="All",'Monthly Activity Log'!B180=$E$3))),'Monthly Activity Log'!C180,"")</f>
        <v/>
      </c>
      <c r="D181" s="74">
        <f>IF(AND(('Monthly Activity Log'!C180&lt;&gt;""),(OR($B$3="All",'Monthly Activity Log'!C180=$B$3)),(OR($E$3="All",'Monthly Activity Log'!B180=$E$3))),'Monthly Activity Log'!D180,"")</f>
        <v/>
      </c>
      <c r="E181" s="74">
        <f>IF(AND(('Monthly Activity Log'!C180&lt;&gt;""),(OR($B$3="All",'Monthly Activity Log'!C180=$B$3)),(OR($E$3="All",'Monthly Activity Log'!B180=$E$3))),'Monthly Activity Log'!E180,"")</f>
        <v/>
      </c>
      <c r="F181" s="74">
        <f>IF(AND(('Monthly Activity Log'!C180&lt;&gt;""),(OR($B$3="All",'Monthly Activity Log'!C180=$B$3)),(OR($E$3="All",'Monthly Activity Log'!B180=$E$3))),'Monthly Activity Log'!F180,"")</f>
        <v/>
      </c>
      <c r="G181" s="74">
        <f>IF(AND(('Monthly Activity Log'!C180&lt;&gt;""),(OR($B$3="All",'Monthly Activity Log'!C180=$B$3)),(OR($E$3="All",'Monthly Activity Log'!B180=$E$3))),'Monthly Activity Log'!G180,"")</f>
        <v/>
      </c>
      <c r="H181" s="74">
        <f>IF(AND(('Monthly Activity Log'!C180&lt;&gt;""),(OR($B$3="All",'Monthly Activity Log'!C180=$B$3)),(OR($E$3="All",'Monthly Activity Log'!B180=$E$3))),'Monthly Activity Log'!H180,"")</f>
        <v/>
      </c>
      <c r="I181" s="74">
        <f>IF(AND(('Monthly Activity Log'!C180&lt;&gt;""),(OR($B$3="All",'Monthly Activity Log'!C180=$B$3)),(OR($E$3="All",'Monthly Activity Log'!B180=$E$3))),'Monthly Activity Log'!I180,"")</f>
        <v/>
      </c>
      <c r="J181" s="74">
        <f>IF(AND(('Monthly Activity Log'!C180&lt;&gt;""),(OR($B$3="All",'Monthly Activity Log'!C180=$B$3)),(OR($E$3="All",'Monthly Activity Log'!B180=$E$3))),'Monthly Activity Log'!J180,"")</f>
        <v/>
      </c>
      <c r="K181" s="74">
        <f>IF(AND(('Monthly Activity Log'!C180&lt;&gt;""),(OR($B$3="All",'Monthly Activity Log'!C180=$B$3)),(OR($E$3="All",'Monthly Activity Log'!B180=$E$3))),'Monthly Activity Log'!K180,"")</f>
        <v/>
      </c>
    </row>
    <row r="182" ht="15.75" customHeight="1" s="65">
      <c r="A182" s="69">
        <f>IF(AND(('Monthly Activity Log'!C181&lt;&gt;""),(OR($B$3="All",'Monthly Activity Log'!C181=$B$3)),(OR($E$3="All",'Monthly Activity Log'!B181=$E$3))),ROW()-4,"")</f>
        <v/>
      </c>
      <c r="B182" s="70">
        <f>IF(AND(('Monthly Activity Log'!C181&lt;&gt;""),(OR($B$3="All",'Monthly Activity Log'!C181=$B$3)),(OR($E$3="All",'Monthly Activity Log'!B181=$E$3))),'Monthly Activity Log'!B181,"")</f>
        <v/>
      </c>
      <c r="C182" s="70">
        <f>IF(AND(('Monthly Activity Log'!C181&lt;&gt;""),(OR($B$3="All",'Monthly Activity Log'!C181=$B$3)),(OR($E$3="All",'Monthly Activity Log'!B181=$E$3))),'Monthly Activity Log'!C181,"")</f>
        <v/>
      </c>
      <c r="D182" s="70">
        <f>IF(AND(('Monthly Activity Log'!C181&lt;&gt;""),(OR($B$3="All",'Monthly Activity Log'!C181=$B$3)),(OR($E$3="All",'Monthly Activity Log'!B181=$E$3))),'Monthly Activity Log'!D181,"")</f>
        <v/>
      </c>
      <c r="E182" s="70">
        <f>IF(AND(('Monthly Activity Log'!C181&lt;&gt;""),(OR($B$3="All",'Monthly Activity Log'!C181=$B$3)),(OR($E$3="All",'Monthly Activity Log'!B181=$E$3))),'Monthly Activity Log'!E181,"")</f>
        <v/>
      </c>
      <c r="F182" s="70">
        <f>IF(AND(('Monthly Activity Log'!C181&lt;&gt;""),(OR($B$3="All",'Monthly Activity Log'!C181=$B$3)),(OR($E$3="All",'Monthly Activity Log'!B181=$E$3))),'Monthly Activity Log'!F181,"")</f>
        <v/>
      </c>
      <c r="G182" s="70">
        <f>IF(AND(('Monthly Activity Log'!C181&lt;&gt;""),(OR($B$3="All",'Monthly Activity Log'!C181=$B$3)),(OR($E$3="All",'Monthly Activity Log'!B181=$E$3))),'Monthly Activity Log'!G181,"")</f>
        <v/>
      </c>
      <c r="H182" s="70">
        <f>IF(AND(('Monthly Activity Log'!C181&lt;&gt;""),(OR($B$3="All",'Monthly Activity Log'!C181=$B$3)),(OR($E$3="All",'Monthly Activity Log'!B181=$E$3))),'Monthly Activity Log'!H181,"")</f>
        <v/>
      </c>
      <c r="I182" s="70">
        <f>IF(AND(('Monthly Activity Log'!C181&lt;&gt;""),(OR($B$3="All",'Monthly Activity Log'!C181=$B$3)),(OR($E$3="All",'Monthly Activity Log'!B181=$E$3))),'Monthly Activity Log'!I181,"")</f>
        <v/>
      </c>
      <c r="J182" s="70">
        <f>IF(AND(('Monthly Activity Log'!C181&lt;&gt;""),(OR($B$3="All",'Monthly Activity Log'!C181=$B$3)),(OR($E$3="All",'Monthly Activity Log'!B181=$E$3))),'Monthly Activity Log'!J181,"")</f>
        <v/>
      </c>
      <c r="K182" s="70">
        <f>IF(AND(('Monthly Activity Log'!C181&lt;&gt;""),(OR($B$3="All",'Monthly Activity Log'!C181=$B$3)),(OR($E$3="All",'Monthly Activity Log'!B181=$E$3))),'Monthly Activity Log'!K181,"")</f>
        <v/>
      </c>
    </row>
    <row r="183" ht="15.75" customHeight="1" s="65">
      <c r="A183" s="73">
        <f>IF(AND(('Monthly Activity Log'!C182&lt;&gt;""),(OR($B$3="All",'Monthly Activity Log'!C182=$B$3)),(OR($E$3="All",'Monthly Activity Log'!B182=$E$3))),ROW()-4,"")</f>
        <v/>
      </c>
      <c r="B183" s="74">
        <f>IF(AND(('Monthly Activity Log'!C182&lt;&gt;""),(OR($B$3="All",'Monthly Activity Log'!C182=$B$3)),(OR($E$3="All",'Monthly Activity Log'!B182=$E$3))),'Monthly Activity Log'!B182,"")</f>
        <v/>
      </c>
      <c r="C183" s="74">
        <f>IF(AND(('Monthly Activity Log'!C182&lt;&gt;""),(OR($B$3="All",'Monthly Activity Log'!C182=$B$3)),(OR($E$3="All",'Monthly Activity Log'!B182=$E$3))),'Monthly Activity Log'!C182,"")</f>
        <v/>
      </c>
      <c r="D183" s="74">
        <f>IF(AND(('Monthly Activity Log'!C182&lt;&gt;""),(OR($B$3="All",'Monthly Activity Log'!C182=$B$3)),(OR($E$3="All",'Monthly Activity Log'!B182=$E$3))),'Monthly Activity Log'!D182,"")</f>
        <v/>
      </c>
      <c r="E183" s="74">
        <f>IF(AND(('Monthly Activity Log'!C182&lt;&gt;""),(OR($B$3="All",'Monthly Activity Log'!C182=$B$3)),(OR($E$3="All",'Monthly Activity Log'!B182=$E$3))),'Monthly Activity Log'!E182,"")</f>
        <v/>
      </c>
      <c r="F183" s="74">
        <f>IF(AND(('Monthly Activity Log'!C182&lt;&gt;""),(OR($B$3="All",'Monthly Activity Log'!C182=$B$3)),(OR($E$3="All",'Monthly Activity Log'!B182=$E$3))),'Monthly Activity Log'!F182,"")</f>
        <v/>
      </c>
      <c r="G183" s="74">
        <f>IF(AND(('Monthly Activity Log'!C182&lt;&gt;""),(OR($B$3="All",'Monthly Activity Log'!C182=$B$3)),(OR($E$3="All",'Monthly Activity Log'!B182=$E$3))),'Monthly Activity Log'!G182,"")</f>
        <v/>
      </c>
      <c r="H183" s="74">
        <f>IF(AND(('Monthly Activity Log'!C182&lt;&gt;""),(OR($B$3="All",'Monthly Activity Log'!C182=$B$3)),(OR($E$3="All",'Monthly Activity Log'!B182=$E$3))),'Monthly Activity Log'!H182,"")</f>
        <v/>
      </c>
      <c r="I183" s="74">
        <f>IF(AND(('Monthly Activity Log'!C182&lt;&gt;""),(OR($B$3="All",'Monthly Activity Log'!C182=$B$3)),(OR($E$3="All",'Monthly Activity Log'!B182=$E$3))),'Monthly Activity Log'!I182,"")</f>
        <v/>
      </c>
      <c r="J183" s="74">
        <f>IF(AND(('Monthly Activity Log'!C182&lt;&gt;""),(OR($B$3="All",'Monthly Activity Log'!C182=$B$3)),(OR($E$3="All",'Monthly Activity Log'!B182=$E$3))),'Monthly Activity Log'!J182,"")</f>
        <v/>
      </c>
      <c r="K183" s="74">
        <f>IF(AND(('Monthly Activity Log'!C182&lt;&gt;""),(OR($B$3="All",'Monthly Activity Log'!C182=$B$3)),(OR($E$3="All",'Monthly Activity Log'!B182=$E$3))),'Monthly Activity Log'!K182,"")</f>
        <v/>
      </c>
    </row>
    <row r="184" ht="15.75" customHeight="1" s="65">
      <c r="A184" s="69">
        <f>IF(AND(('Monthly Activity Log'!C183&lt;&gt;""),(OR($B$3="All",'Monthly Activity Log'!C183=$B$3)),(OR($E$3="All",'Monthly Activity Log'!B183=$E$3))),ROW()-4,"")</f>
        <v/>
      </c>
      <c r="B184" s="70">
        <f>IF(AND(('Monthly Activity Log'!C183&lt;&gt;""),(OR($B$3="All",'Monthly Activity Log'!C183=$B$3)),(OR($E$3="All",'Monthly Activity Log'!B183=$E$3))),'Monthly Activity Log'!B183,"")</f>
        <v/>
      </c>
      <c r="C184" s="70">
        <f>IF(AND(('Monthly Activity Log'!C183&lt;&gt;""),(OR($B$3="All",'Monthly Activity Log'!C183=$B$3)),(OR($E$3="All",'Monthly Activity Log'!B183=$E$3))),'Monthly Activity Log'!C183,"")</f>
        <v/>
      </c>
      <c r="D184" s="70">
        <f>IF(AND(('Monthly Activity Log'!C183&lt;&gt;""),(OR($B$3="All",'Monthly Activity Log'!C183=$B$3)),(OR($E$3="All",'Monthly Activity Log'!B183=$E$3))),'Monthly Activity Log'!D183,"")</f>
        <v/>
      </c>
      <c r="E184" s="70">
        <f>IF(AND(('Monthly Activity Log'!C183&lt;&gt;""),(OR($B$3="All",'Monthly Activity Log'!C183=$B$3)),(OR($E$3="All",'Monthly Activity Log'!B183=$E$3))),'Monthly Activity Log'!E183,"")</f>
        <v/>
      </c>
      <c r="F184" s="70">
        <f>IF(AND(('Monthly Activity Log'!C183&lt;&gt;""),(OR($B$3="All",'Monthly Activity Log'!C183=$B$3)),(OR($E$3="All",'Monthly Activity Log'!B183=$E$3))),'Monthly Activity Log'!F183,"")</f>
        <v/>
      </c>
      <c r="G184" s="70">
        <f>IF(AND(('Monthly Activity Log'!C183&lt;&gt;""),(OR($B$3="All",'Monthly Activity Log'!C183=$B$3)),(OR($E$3="All",'Monthly Activity Log'!B183=$E$3))),'Monthly Activity Log'!G183,"")</f>
        <v/>
      </c>
      <c r="H184" s="70">
        <f>IF(AND(('Monthly Activity Log'!C183&lt;&gt;""),(OR($B$3="All",'Monthly Activity Log'!C183=$B$3)),(OR($E$3="All",'Monthly Activity Log'!B183=$E$3))),'Monthly Activity Log'!H183,"")</f>
        <v/>
      </c>
      <c r="I184" s="70">
        <f>IF(AND(('Monthly Activity Log'!C183&lt;&gt;""),(OR($B$3="All",'Monthly Activity Log'!C183=$B$3)),(OR($E$3="All",'Monthly Activity Log'!B183=$E$3))),'Monthly Activity Log'!I183,"")</f>
        <v/>
      </c>
      <c r="J184" s="70">
        <f>IF(AND(('Monthly Activity Log'!C183&lt;&gt;""),(OR($B$3="All",'Monthly Activity Log'!C183=$B$3)),(OR($E$3="All",'Monthly Activity Log'!B183=$E$3))),'Monthly Activity Log'!J183,"")</f>
        <v/>
      </c>
      <c r="K184" s="70">
        <f>IF(AND(('Monthly Activity Log'!C183&lt;&gt;""),(OR($B$3="All",'Monthly Activity Log'!C183=$B$3)),(OR($E$3="All",'Monthly Activity Log'!B183=$E$3))),'Monthly Activity Log'!K183,"")</f>
        <v/>
      </c>
    </row>
    <row r="185" ht="15.75" customHeight="1" s="65">
      <c r="A185" s="73">
        <f>IF(AND(('Monthly Activity Log'!C184&lt;&gt;""),(OR($B$3="All",'Monthly Activity Log'!C184=$B$3)),(OR($E$3="All",'Monthly Activity Log'!B184=$E$3))),ROW()-4,"")</f>
        <v/>
      </c>
      <c r="B185" s="74">
        <f>IF(AND(('Monthly Activity Log'!C184&lt;&gt;""),(OR($B$3="All",'Monthly Activity Log'!C184=$B$3)),(OR($E$3="All",'Monthly Activity Log'!B184=$E$3))),'Monthly Activity Log'!B184,"")</f>
        <v/>
      </c>
      <c r="C185" s="74">
        <f>IF(AND(('Monthly Activity Log'!C184&lt;&gt;""),(OR($B$3="All",'Monthly Activity Log'!C184=$B$3)),(OR($E$3="All",'Monthly Activity Log'!B184=$E$3))),'Monthly Activity Log'!C184,"")</f>
        <v/>
      </c>
      <c r="D185" s="74">
        <f>IF(AND(('Monthly Activity Log'!C184&lt;&gt;""),(OR($B$3="All",'Monthly Activity Log'!C184=$B$3)),(OR($E$3="All",'Monthly Activity Log'!B184=$E$3))),'Monthly Activity Log'!D184,"")</f>
        <v/>
      </c>
      <c r="E185" s="74">
        <f>IF(AND(('Monthly Activity Log'!C184&lt;&gt;""),(OR($B$3="All",'Monthly Activity Log'!C184=$B$3)),(OR($E$3="All",'Monthly Activity Log'!B184=$E$3))),'Monthly Activity Log'!E184,"")</f>
        <v/>
      </c>
      <c r="F185" s="74">
        <f>IF(AND(('Monthly Activity Log'!C184&lt;&gt;""),(OR($B$3="All",'Monthly Activity Log'!C184=$B$3)),(OR($E$3="All",'Monthly Activity Log'!B184=$E$3))),'Monthly Activity Log'!F184,"")</f>
        <v/>
      </c>
      <c r="G185" s="74">
        <f>IF(AND(('Monthly Activity Log'!C184&lt;&gt;""),(OR($B$3="All",'Monthly Activity Log'!C184=$B$3)),(OR($E$3="All",'Monthly Activity Log'!B184=$E$3))),'Monthly Activity Log'!G184,"")</f>
        <v/>
      </c>
      <c r="H185" s="74">
        <f>IF(AND(('Monthly Activity Log'!C184&lt;&gt;""),(OR($B$3="All",'Monthly Activity Log'!C184=$B$3)),(OR($E$3="All",'Monthly Activity Log'!B184=$E$3))),'Monthly Activity Log'!H184,"")</f>
        <v/>
      </c>
      <c r="I185" s="74">
        <f>IF(AND(('Monthly Activity Log'!C184&lt;&gt;""),(OR($B$3="All",'Monthly Activity Log'!C184=$B$3)),(OR($E$3="All",'Monthly Activity Log'!B184=$E$3))),'Monthly Activity Log'!I184,"")</f>
        <v/>
      </c>
      <c r="J185" s="74">
        <f>IF(AND(('Monthly Activity Log'!C184&lt;&gt;""),(OR($B$3="All",'Monthly Activity Log'!C184=$B$3)),(OR($E$3="All",'Monthly Activity Log'!B184=$E$3))),'Monthly Activity Log'!J184,"")</f>
        <v/>
      </c>
      <c r="K185" s="74">
        <f>IF(AND(('Monthly Activity Log'!C184&lt;&gt;""),(OR($B$3="All",'Monthly Activity Log'!C184=$B$3)),(OR($E$3="All",'Monthly Activity Log'!B184=$E$3))),'Monthly Activity Log'!K184,"")</f>
        <v/>
      </c>
    </row>
    <row r="186" ht="15.75" customHeight="1" s="65">
      <c r="A186" s="69">
        <f>IF(AND(('Monthly Activity Log'!C185&lt;&gt;""),(OR($B$3="All",'Monthly Activity Log'!C185=$B$3)),(OR($E$3="All",'Monthly Activity Log'!B185=$E$3))),ROW()-4,"")</f>
        <v/>
      </c>
      <c r="B186" s="70">
        <f>IF(AND(('Monthly Activity Log'!C185&lt;&gt;""),(OR($B$3="All",'Monthly Activity Log'!C185=$B$3)),(OR($E$3="All",'Monthly Activity Log'!B185=$E$3))),'Monthly Activity Log'!B185,"")</f>
        <v/>
      </c>
      <c r="C186" s="70">
        <f>IF(AND(('Monthly Activity Log'!C185&lt;&gt;""),(OR($B$3="All",'Monthly Activity Log'!C185=$B$3)),(OR($E$3="All",'Monthly Activity Log'!B185=$E$3))),'Monthly Activity Log'!C185,"")</f>
        <v/>
      </c>
      <c r="D186" s="70">
        <f>IF(AND(('Monthly Activity Log'!C185&lt;&gt;""),(OR($B$3="All",'Monthly Activity Log'!C185=$B$3)),(OR($E$3="All",'Monthly Activity Log'!B185=$E$3))),'Monthly Activity Log'!D185,"")</f>
        <v/>
      </c>
      <c r="E186" s="70">
        <f>IF(AND(('Monthly Activity Log'!C185&lt;&gt;""),(OR($B$3="All",'Monthly Activity Log'!C185=$B$3)),(OR($E$3="All",'Monthly Activity Log'!B185=$E$3))),'Monthly Activity Log'!E185,"")</f>
        <v/>
      </c>
      <c r="F186" s="70">
        <f>IF(AND(('Monthly Activity Log'!C185&lt;&gt;""),(OR($B$3="All",'Monthly Activity Log'!C185=$B$3)),(OR($E$3="All",'Monthly Activity Log'!B185=$E$3))),'Monthly Activity Log'!F185,"")</f>
        <v/>
      </c>
      <c r="G186" s="70">
        <f>IF(AND(('Monthly Activity Log'!C185&lt;&gt;""),(OR($B$3="All",'Monthly Activity Log'!C185=$B$3)),(OR($E$3="All",'Monthly Activity Log'!B185=$E$3))),'Monthly Activity Log'!G185,"")</f>
        <v/>
      </c>
      <c r="H186" s="70">
        <f>IF(AND(('Monthly Activity Log'!C185&lt;&gt;""),(OR($B$3="All",'Monthly Activity Log'!C185=$B$3)),(OR($E$3="All",'Monthly Activity Log'!B185=$E$3))),'Monthly Activity Log'!H185,"")</f>
        <v/>
      </c>
      <c r="I186" s="70">
        <f>IF(AND(('Monthly Activity Log'!C185&lt;&gt;""),(OR($B$3="All",'Monthly Activity Log'!C185=$B$3)),(OR($E$3="All",'Monthly Activity Log'!B185=$E$3))),'Monthly Activity Log'!I185,"")</f>
        <v/>
      </c>
      <c r="J186" s="70">
        <f>IF(AND(('Monthly Activity Log'!C185&lt;&gt;""),(OR($B$3="All",'Monthly Activity Log'!C185=$B$3)),(OR($E$3="All",'Monthly Activity Log'!B185=$E$3))),'Monthly Activity Log'!J185,"")</f>
        <v/>
      </c>
      <c r="K186" s="70">
        <f>IF(AND(('Monthly Activity Log'!C185&lt;&gt;""),(OR($B$3="All",'Monthly Activity Log'!C185=$B$3)),(OR($E$3="All",'Monthly Activity Log'!B185=$E$3))),'Monthly Activity Log'!K185,"")</f>
        <v/>
      </c>
    </row>
    <row r="187" ht="15.75" customHeight="1" s="65">
      <c r="A187" s="73">
        <f>IF(AND(('Monthly Activity Log'!C186&lt;&gt;""),(OR($B$3="All",'Monthly Activity Log'!C186=$B$3)),(OR($E$3="All",'Monthly Activity Log'!B186=$E$3))),ROW()-4,"")</f>
        <v/>
      </c>
      <c r="B187" s="74">
        <f>IF(AND(('Monthly Activity Log'!C186&lt;&gt;""),(OR($B$3="All",'Monthly Activity Log'!C186=$B$3)),(OR($E$3="All",'Monthly Activity Log'!B186=$E$3))),'Monthly Activity Log'!B186,"")</f>
        <v/>
      </c>
      <c r="C187" s="74">
        <f>IF(AND(('Monthly Activity Log'!C186&lt;&gt;""),(OR($B$3="All",'Monthly Activity Log'!C186=$B$3)),(OR($E$3="All",'Monthly Activity Log'!B186=$E$3))),'Monthly Activity Log'!C186,"")</f>
        <v/>
      </c>
      <c r="D187" s="74">
        <f>IF(AND(('Monthly Activity Log'!C186&lt;&gt;""),(OR($B$3="All",'Monthly Activity Log'!C186=$B$3)),(OR($E$3="All",'Monthly Activity Log'!B186=$E$3))),'Monthly Activity Log'!D186,"")</f>
        <v/>
      </c>
      <c r="E187" s="74">
        <f>IF(AND(('Monthly Activity Log'!C186&lt;&gt;""),(OR($B$3="All",'Monthly Activity Log'!C186=$B$3)),(OR($E$3="All",'Monthly Activity Log'!B186=$E$3))),'Monthly Activity Log'!E186,"")</f>
        <v/>
      </c>
      <c r="F187" s="74">
        <f>IF(AND(('Monthly Activity Log'!C186&lt;&gt;""),(OR($B$3="All",'Monthly Activity Log'!C186=$B$3)),(OR($E$3="All",'Monthly Activity Log'!B186=$E$3))),'Monthly Activity Log'!F186,"")</f>
        <v/>
      </c>
      <c r="G187" s="74">
        <f>IF(AND(('Monthly Activity Log'!C186&lt;&gt;""),(OR($B$3="All",'Monthly Activity Log'!C186=$B$3)),(OR($E$3="All",'Monthly Activity Log'!B186=$E$3))),'Monthly Activity Log'!G186,"")</f>
        <v/>
      </c>
      <c r="H187" s="74">
        <f>IF(AND(('Monthly Activity Log'!C186&lt;&gt;""),(OR($B$3="All",'Monthly Activity Log'!C186=$B$3)),(OR($E$3="All",'Monthly Activity Log'!B186=$E$3))),'Monthly Activity Log'!H186,"")</f>
        <v/>
      </c>
      <c r="I187" s="74">
        <f>IF(AND(('Monthly Activity Log'!C186&lt;&gt;""),(OR($B$3="All",'Monthly Activity Log'!C186=$B$3)),(OR($E$3="All",'Monthly Activity Log'!B186=$E$3))),'Monthly Activity Log'!I186,"")</f>
        <v/>
      </c>
      <c r="J187" s="74">
        <f>IF(AND(('Monthly Activity Log'!C186&lt;&gt;""),(OR($B$3="All",'Monthly Activity Log'!C186=$B$3)),(OR($E$3="All",'Monthly Activity Log'!B186=$E$3))),'Monthly Activity Log'!J186,"")</f>
        <v/>
      </c>
      <c r="K187" s="74">
        <f>IF(AND(('Monthly Activity Log'!C186&lt;&gt;""),(OR($B$3="All",'Monthly Activity Log'!C186=$B$3)),(OR($E$3="All",'Monthly Activity Log'!B186=$E$3))),'Monthly Activity Log'!K186,"")</f>
        <v/>
      </c>
    </row>
    <row r="188" ht="15.75" customHeight="1" s="65">
      <c r="A188" s="69">
        <f>IF(AND(('Monthly Activity Log'!C187&lt;&gt;""),(OR($B$3="All",'Monthly Activity Log'!C187=$B$3)),(OR($E$3="All",'Monthly Activity Log'!B187=$E$3))),ROW()-4,"")</f>
        <v/>
      </c>
      <c r="B188" s="70">
        <f>IF(AND(('Monthly Activity Log'!C187&lt;&gt;""),(OR($B$3="All",'Monthly Activity Log'!C187=$B$3)),(OR($E$3="All",'Monthly Activity Log'!B187=$E$3))),'Monthly Activity Log'!B187,"")</f>
        <v/>
      </c>
      <c r="C188" s="70">
        <f>IF(AND(('Monthly Activity Log'!C187&lt;&gt;""),(OR($B$3="All",'Monthly Activity Log'!C187=$B$3)),(OR($E$3="All",'Monthly Activity Log'!B187=$E$3))),'Monthly Activity Log'!C187,"")</f>
        <v/>
      </c>
      <c r="D188" s="70">
        <f>IF(AND(('Monthly Activity Log'!C187&lt;&gt;""),(OR($B$3="All",'Monthly Activity Log'!C187=$B$3)),(OR($E$3="All",'Monthly Activity Log'!B187=$E$3))),'Monthly Activity Log'!D187,"")</f>
        <v/>
      </c>
      <c r="E188" s="70">
        <f>IF(AND(('Monthly Activity Log'!C187&lt;&gt;""),(OR($B$3="All",'Monthly Activity Log'!C187=$B$3)),(OR($E$3="All",'Monthly Activity Log'!B187=$E$3))),'Monthly Activity Log'!E187,"")</f>
        <v/>
      </c>
      <c r="F188" s="70">
        <f>IF(AND(('Monthly Activity Log'!C187&lt;&gt;""),(OR($B$3="All",'Monthly Activity Log'!C187=$B$3)),(OR($E$3="All",'Monthly Activity Log'!B187=$E$3))),'Monthly Activity Log'!F187,"")</f>
        <v/>
      </c>
      <c r="G188" s="70">
        <f>IF(AND(('Monthly Activity Log'!C187&lt;&gt;""),(OR($B$3="All",'Monthly Activity Log'!C187=$B$3)),(OR($E$3="All",'Monthly Activity Log'!B187=$E$3))),'Monthly Activity Log'!G187,"")</f>
        <v/>
      </c>
      <c r="H188" s="70">
        <f>IF(AND(('Monthly Activity Log'!C187&lt;&gt;""),(OR($B$3="All",'Monthly Activity Log'!C187=$B$3)),(OR($E$3="All",'Monthly Activity Log'!B187=$E$3))),'Monthly Activity Log'!H187,"")</f>
        <v/>
      </c>
      <c r="I188" s="70">
        <f>IF(AND(('Monthly Activity Log'!C187&lt;&gt;""),(OR($B$3="All",'Monthly Activity Log'!C187=$B$3)),(OR($E$3="All",'Monthly Activity Log'!B187=$E$3))),'Monthly Activity Log'!I187,"")</f>
        <v/>
      </c>
      <c r="J188" s="70">
        <f>IF(AND(('Monthly Activity Log'!C187&lt;&gt;""),(OR($B$3="All",'Monthly Activity Log'!C187=$B$3)),(OR($E$3="All",'Monthly Activity Log'!B187=$E$3))),'Monthly Activity Log'!J187,"")</f>
        <v/>
      </c>
      <c r="K188" s="70">
        <f>IF(AND(('Monthly Activity Log'!C187&lt;&gt;""),(OR($B$3="All",'Monthly Activity Log'!C187=$B$3)),(OR($E$3="All",'Monthly Activity Log'!B187=$E$3))),'Monthly Activity Log'!K187,"")</f>
        <v/>
      </c>
    </row>
    <row r="189" ht="15.75" customHeight="1" s="65">
      <c r="A189" s="73">
        <f>IF(AND(('Monthly Activity Log'!C188&lt;&gt;""),(OR($B$3="All",'Monthly Activity Log'!C188=$B$3)),(OR($E$3="All",'Monthly Activity Log'!B188=$E$3))),ROW()-4,"")</f>
        <v/>
      </c>
      <c r="B189" s="74">
        <f>IF(AND(('Monthly Activity Log'!C188&lt;&gt;""),(OR($B$3="All",'Monthly Activity Log'!C188=$B$3)),(OR($E$3="All",'Monthly Activity Log'!B188=$E$3))),'Monthly Activity Log'!B188,"")</f>
        <v/>
      </c>
      <c r="C189" s="74">
        <f>IF(AND(('Monthly Activity Log'!C188&lt;&gt;""),(OR($B$3="All",'Monthly Activity Log'!C188=$B$3)),(OR($E$3="All",'Monthly Activity Log'!B188=$E$3))),'Monthly Activity Log'!C188,"")</f>
        <v/>
      </c>
      <c r="D189" s="74">
        <f>IF(AND(('Monthly Activity Log'!C188&lt;&gt;""),(OR($B$3="All",'Monthly Activity Log'!C188=$B$3)),(OR($E$3="All",'Monthly Activity Log'!B188=$E$3))),'Monthly Activity Log'!D188,"")</f>
        <v/>
      </c>
      <c r="E189" s="74">
        <f>IF(AND(('Monthly Activity Log'!C188&lt;&gt;""),(OR($B$3="All",'Monthly Activity Log'!C188=$B$3)),(OR($E$3="All",'Monthly Activity Log'!B188=$E$3))),'Monthly Activity Log'!E188,"")</f>
        <v/>
      </c>
      <c r="F189" s="74">
        <f>IF(AND(('Monthly Activity Log'!C188&lt;&gt;""),(OR($B$3="All",'Monthly Activity Log'!C188=$B$3)),(OR($E$3="All",'Monthly Activity Log'!B188=$E$3))),'Monthly Activity Log'!F188,"")</f>
        <v/>
      </c>
      <c r="G189" s="74">
        <f>IF(AND(('Monthly Activity Log'!C188&lt;&gt;""),(OR($B$3="All",'Monthly Activity Log'!C188=$B$3)),(OR($E$3="All",'Monthly Activity Log'!B188=$E$3))),'Monthly Activity Log'!G188,"")</f>
        <v/>
      </c>
      <c r="H189" s="74">
        <f>IF(AND(('Monthly Activity Log'!C188&lt;&gt;""),(OR($B$3="All",'Monthly Activity Log'!C188=$B$3)),(OR($E$3="All",'Monthly Activity Log'!B188=$E$3))),'Monthly Activity Log'!H188,"")</f>
        <v/>
      </c>
      <c r="I189" s="74">
        <f>IF(AND(('Monthly Activity Log'!C188&lt;&gt;""),(OR($B$3="All",'Monthly Activity Log'!C188=$B$3)),(OR($E$3="All",'Monthly Activity Log'!B188=$E$3))),'Monthly Activity Log'!I188,"")</f>
        <v/>
      </c>
      <c r="J189" s="74">
        <f>IF(AND(('Monthly Activity Log'!C188&lt;&gt;""),(OR($B$3="All",'Monthly Activity Log'!C188=$B$3)),(OR($E$3="All",'Monthly Activity Log'!B188=$E$3))),'Monthly Activity Log'!J188,"")</f>
        <v/>
      </c>
      <c r="K189" s="74">
        <f>IF(AND(('Monthly Activity Log'!C188&lt;&gt;""),(OR($B$3="All",'Monthly Activity Log'!C188=$B$3)),(OR($E$3="All",'Monthly Activity Log'!B188=$E$3))),'Monthly Activity Log'!K188,"")</f>
        <v/>
      </c>
    </row>
    <row r="190" ht="15.75" customHeight="1" s="65">
      <c r="A190" s="69">
        <f>IF(AND(('Monthly Activity Log'!C189&lt;&gt;""),(OR($B$3="All",'Monthly Activity Log'!C189=$B$3)),(OR($E$3="All",'Monthly Activity Log'!B189=$E$3))),ROW()-4,"")</f>
        <v/>
      </c>
      <c r="B190" s="70">
        <f>IF(AND(('Monthly Activity Log'!C189&lt;&gt;""),(OR($B$3="All",'Monthly Activity Log'!C189=$B$3)),(OR($E$3="All",'Monthly Activity Log'!B189=$E$3))),'Monthly Activity Log'!B189,"")</f>
        <v/>
      </c>
      <c r="C190" s="70">
        <f>IF(AND(('Monthly Activity Log'!C189&lt;&gt;""),(OR($B$3="All",'Monthly Activity Log'!C189=$B$3)),(OR($E$3="All",'Monthly Activity Log'!B189=$E$3))),'Monthly Activity Log'!C189,"")</f>
        <v/>
      </c>
      <c r="D190" s="70">
        <f>IF(AND(('Monthly Activity Log'!C189&lt;&gt;""),(OR($B$3="All",'Monthly Activity Log'!C189=$B$3)),(OR($E$3="All",'Monthly Activity Log'!B189=$E$3))),'Monthly Activity Log'!D189,"")</f>
        <v/>
      </c>
      <c r="E190" s="70">
        <f>IF(AND(('Monthly Activity Log'!C189&lt;&gt;""),(OR($B$3="All",'Monthly Activity Log'!C189=$B$3)),(OR($E$3="All",'Monthly Activity Log'!B189=$E$3))),'Monthly Activity Log'!E189,"")</f>
        <v/>
      </c>
      <c r="F190" s="70">
        <f>IF(AND(('Monthly Activity Log'!C189&lt;&gt;""),(OR($B$3="All",'Monthly Activity Log'!C189=$B$3)),(OR($E$3="All",'Monthly Activity Log'!B189=$E$3))),'Monthly Activity Log'!F189,"")</f>
        <v/>
      </c>
      <c r="G190" s="70">
        <f>IF(AND(('Monthly Activity Log'!C189&lt;&gt;""),(OR($B$3="All",'Monthly Activity Log'!C189=$B$3)),(OR($E$3="All",'Monthly Activity Log'!B189=$E$3))),'Monthly Activity Log'!G189,"")</f>
        <v/>
      </c>
      <c r="H190" s="70">
        <f>IF(AND(('Monthly Activity Log'!C189&lt;&gt;""),(OR($B$3="All",'Monthly Activity Log'!C189=$B$3)),(OR($E$3="All",'Monthly Activity Log'!B189=$E$3))),'Monthly Activity Log'!H189,"")</f>
        <v/>
      </c>
      <c r="I190" s="70">
        <f>IF(AND(('Monthly Activity Log'!C189&lt;&gt;""),(OR($B$3="All",'Monthly Activity Log'!C189=$B$3)),(OR($E$3="All",'Monthly Activity Log'!B189=$E$3))),'Monthly Activity Log'!I189,"")</f>
        <v/>
      </c>
      <c r="J190" s="70">
        <f>IF(AND(('Monthly Activity Log'!C189&lt;&gt;""),(OR($B$3="All",'Monthly Activity Log'!C189=$B$3)),(OR($E$3="All",'Monthly Activity Log'!B189=$E$3))),'Monthly Activity Log'!J189,"")</f>
        <v/>
      </c>
      <c r="K190" s="70">
        <f>IF(AND(('Monthly Activity Log'!C189&lt;&gt;""),(OR($B$3="All",'Monthly Activity Log'!C189=$B$3)),(OR($E$3="All",'Monthly Activity Log'!B189=$E$3))),'Monthly Activity Log'!K189,"")</f>
        <v/>
      </c>
    </row>
    <row r="191" ht="15.75" customHeight="1" s="65">
      <c r="A191" s="73">
        <f>IF(AND(('Monthly Activity Log'!C190&lt;&gt;""),(OR($B$3="All",'Monthly Activity Log'!C190=$B$3)),(OR($E$3="All",'Monthly Activity Log'!B190=$E$3))),ROW()-4,"")</f>
        <v/>
      </c>
      <c r="B191" s="74">
        <f>IF(AND(('Monthly Activity Log'!C190&lt;&gt;""),(OR($B$3="All",'Monthly Activity Log'!C190=$B$3)),(OR($E$3="All",'Monthly Activity Log'!B190=$E$3))),'Monthly Activity Log'!B190,"")</f>
        <v/>
      </c>
      <c r="C191" s="74">
        <f>IF(AND(('Monthly Activity Log'!C190&lt;&gt;""),(OR($B$3="All",'Monthly Activity Log'!C190=$B$3)),(OR($E$3="All",'Monthly Activity Log'!B190=$E$3))),'Monthly Activity Log'!C190,"")</f>
        <v/>
      </c>
      <c r="D191" s="74">
        <f>IF(AND(('Monthly Activity Log'!C190&lt;&gt;""),(OR($B$3="All",'Monthly Activity Log'!C190=$B$3)),(OR($E$3="All",'Monthly Activity Log'!B190=$E$3))),'Monthly Activity Log'!D190,"")</f>
        <v/>
      </c>
      <c r="E191" s="74">
        <f>IF(AND(('Monthly Activity Log'!C190&lt;&gt;""),(OR($B$3="All",'Monthly Activity Log'!C190=$B$3)),(OR($E$3="All",'Monthly Activity Log'!B190=$E$3))),'Monthly Activity Log'!E190,"")</f>
        <v/>
      </c>
      <c r="F191" s="74">
        <f>IF(AND(('Monthly Activity Log'!C190&lt;&gt;""),(OR($B$3="All",'Monthly Activity Log'!C190=$B$3)),(OR($E$3="All",'Monthly Activity Log'!B190=$E$3))),'Monthly Activity Log'!F190,"")</f>
        <v/>
      </c>
      <c r="G191" s="74">
        <f>IF(AND(('Monthly Activity Log'!C190&lt;&gt;""),(OR($B$3="All",'Monthly Activity Log'!C190=$B$3)),(OR($E$3="All",'Monthly Activity Log'!B190=$E$3))),'Monthly Activity Log'!G190,"")</f>
        <v/>
      </c>
      <c r="H191" s="74">
        <f>IF(AND(('Monthly Activity Log'!C190&lt;&gt;""),(OR($B$3="All",'Monthly Activity Log'!C190=$B$3)),(OR($E$3="All",'Monthly Activity Log'!B190=$E$3))),'Monthly Activity Log'!H190,"")</f>
        <v/>
      </c>
      <c r="I191" s="74">
        <f>IF(AND(('Monthly Activity Log'!C190&lt;&gt;""),(OR($B$3="All",'Monthly Activity Log'!C190=$B$3)),(OR($E$3="All",'Monthly Activity Log'!B190=$E$3))),'Monthly Activity Log'!I190,"")</f>
        <v/>
      </c>
      <c r="J191" s="74">
        <f>IF(AND(('Monthly Activity Log'!C190&lt;&gt;""),(OR($B$3="All",'Monthly Activity Log'!C190=$B$3)),(OR($E$3="All",'Monthly Activity Log'!B190=$E$3))),'Monthly Activity Log'!J190,"")</f>
        <v/>
      </c>
      <c r="K191" s="74">
        <f>IF(AND(('Monthly Activity Log'!C190&lt;&gt;""),(OR($B$3="All",'Monthly Activity Log'!C190=$B$3)),(OR($E$3="All",'Monthly Activity Log'!B190=$E$3))),'Monthly Activity Log'!K190,"")</f>
        <v/>
      </c>
    </row>
    <row r="192" ht="15.75" customHeight="1" s="65">
      <c r="A192" s="69">
        <f>IF(AND(('Monthly Activity Log'!C191&lt;&gt;""),(OR($B$3="All",'Monthly Activity Log'!C191=$B$3)),(OR($E$3="All",'Monthly Activity Log'!B191=$E$3))),ROW()-4,"")</f>
        <v/>
      </c>
      <c r="B192" s="70">
        <f>IF(AND(('Monthly Activity Log'!C191&lt;&gt;""),(OR($B$3="All",'Monthly Activity Log'!C191=$B$3)),(OR($E$3="All",'Monthly Activity Log'!B191=$E$3))),'Monthly Activity Log'!B191,"")</f>
        <v/>
      </c>
      <c r="C192" s="70">
        <f>IF(AND(('Monthly Activity Log'!C191&lt;&gt;""),(OR($B$3="All",'Monthly Activity Log'!C191=$B$3)),(OR($E$3="All",'Monthly Activity Log'!B191=$E$3))),'Monthly Activity Log'!C191,"")</f>
        <v/>
      </c>
      <c r="D192" s="70">
        <f>IF(AND(('Monthly Activity Log'!C191&lt;&gt;""),(OR($B$3="All",'Monthly Activity Log'!C191=$B$3)),(OR($E$3="All",'Monthly Activity Log'!B191=$E$3))),'Monthly Activity Log'!D191,"")</f>
        <v/>
      </c>
      <c r="E192" s="70">
        <f>IF(AND(('Monthly Activity Log'!C191&lt;&gt;""),(OR($B$3="All",'Monthly Activity Log'!C191=$B$3)),(OR($E$3="All",'Monthly Activity Log'!B191=$E$3))),'Monthly Activity Log'!E191,"")</f>
        <v/>
      </c>
      <c r="F192" s="70">
        <f>IF(AND(('Monthly Activity Log'!C191&lt;&gt;""),(OR($B$3="All",'Monthly Activity Log'!C191=$B$3)),(OR($E$3="All",'Monthly Activity Log'!B191=$E$3))),'Monthly Activity Log'!F191,"")</f>
        <v/>
      </c>
      <c r="G192" s="70">
        <f>IF(AND(('Monthly Activity Log'!C191&lt;&gt;""),(OR($B$3="All",'Monthly Activity Log'!C191=$B$3)),(OR($E$3="All",'Monthly Activity Log'!B191=$E$3))),'Monthly Activity Log'!G191,"")</f>
        <v/>
      </c>
      <c r="H192" s="70">
        <f>IF(AND(('Monthly Activity Log'!C191&lt;&gt;""),(OR($B$3="All",'Monthly Activity Log'!C191=$B$3)),(OR($E$3="All",'Monthly Activity Log'!B191=$E$3))),'Monthly Activity Log'!H191,"")</f>
        <v/>
      </c>
      <c r="I192" s="70">
        <f>IF(AND(('Monthly Activity Log'!C191&lt;&gt;""),(OR($B$3="All",'Monthly Activity Log'!C191=$B$3)),(OR($E$3="All",'Monthly Activity Log'!B191=$E$3))),'Monthly Activity Log'!I191,"")</f>
        <v/>
      </c>
      <c r="J192" s="70">
        <f>IF(AND(('Monthly Activity Log'!C191&lt;&gt;""),(OR($B$3="All",'Monthly Activity Log'!C191=$B$3)),(OR($E$3="All",'Monthly Activity Log'!B191=$E$3))),'Monthly Activity Log'!J191,"")</f>
        <v/>
      </c>
      <c r="K192" s="70">
        <f>IF(AND(('Monthly Activity Log'!C191&lt;&gt;""),(OR($B$3="All",'Monthly Activity Log'!C191=$B$3)),(OR($E$3="All",'Monthly Activity Log'!B191=$E$3))),'Monthly Activity Log'!K191,"")</f>
        <v/>
      </c>
    </row>
    <row r="193" ht="15.75" customHeight="1" s="65">
      <c r="A193" s="73">
        <f>IF(AND(('Monthly Activity Log'!C192&lt;&gt;""),(OR($B$3="All",'Monthly Activity Log'!C192=$B$3)),(OR($E$3="All",'Monthly Activity Log'!B192=$E$3))),ROW()-4,"")</f>
        <v/>
      </c>
      <c r="B193" s="74">
        <f>IF(AND(('Monthly Activity Log'!C192&lt;&gt;""),(OR($B$3="All",'Monthly Activity Log'!C192=$B$3)),(OR($E$3="All",'Monthly Activity Log'!B192=$E$3))),'Monthly Activity Log'!B192,"")</f>
        <v/>
      </c>
      <c r="C193" s="74">
        <f>IF(AND(('Monthly Activity Log'!C192&lt;&gt;""),(OR($B$3="All",'Monthly Activity Log'!C192=$B$3)),(OR($E$3="All",'Monthly Activity Log'!B192=$E$3))),'Monthly Activity Log'!C192,"")</f>
        <v/>
      </c>
      <c r="D193" s="74">
        <f>IF(AND(('Monthly Activity Log'!C192&lt;&gt;""),(OR($B$3="All",'Monthly Activity Log'!C192=$B$3)),(OR($E$3="All",'Monthly Activity Log'!B192=$E$3))),'Monthly Activity Log'!D192,"")</f>
        <v/>
      </c>
      <c r="E193" s="74">
        <f>IF(AND(('Monthly Activity Log'!C192&lt;&gt;""),(OR($B$3="All",'Monthly Activity Log'!C192=$B$3)),(OR($E$3="All",'Monthly Activity Log'!B192=$E$3))),'Monthly Activity Log'!E192,"")</f>
        <v/>
      </c>
      <c r="F193" s="74">
        <f>IF(AND(('Monthly Activity Log'!C192&lt;&gt;""),(OR($B$3="All",'Monthly Activity Log'!C192=$B$3)),(OR($E$3="All",'Monthly Activity Log'!B192=$E$3))),'Monthly Activity Log'!F192,"")</f>
        <v/>
      </c>
      <c r="G193" s="74">
        <f>IF(AND(('Monthly Activity Log'!C192&lt;&gt;""),(OR($B$3="All",'Monthly Activity Log'!C192=$B$3)),(OR($E$3="All",'Monthly Activity Log'!B192=$E$3))),'Monthly Activity Log'!G192,"")</f>
        <v/>
      </c>
      <c r="H193" s="74">
        <f>IF(AND(('Monthly Activity Log'!C192&lt;&gt;""),(OR($B$3="All",'Monthly Activity Log'!C192=$B$3)),(OR($E$3="All",'Monthly Activity Log'!B192=$E$3))),'Monthly Activity Log'!H192,"")</f>
        <v/>
      </c>
      <c r="I193" s="74">
        <f>IF(AND(('Monthly Activity Log'!C192&lt;&gt;""),(OR($B$3="All",'Monthly Activity Log'!C192=$B$3)),(OR($E$3="All",'Monthly Activity Log'!B192=$E$3))),'Monthly Activity Log'!I192,"")</f>
        <v/>
      </c>
      <c r="J193" s="74">
        <f>IF(AND(('Monthly Activity Log'!C192&lt;&gt;""),(OR($B$3="All",'Monthly Activity Log'!C192=$B$3)),(OR($E$3="All",'Monthly Activity Log'!B192=$E$3))),'Monthly Activity Log'!J192,"")</f>
        <v/>
      </c>
      <c r="K193" s="74">
        <f>IF(AND(('Monthly Activity Log'!C192&lt;&gt;""),(OR($B$3="All",'Monthly Activity Log'!C192=$B$3)),(OR($E$3="All",'Monthly Activity Log'!B192=$E$3))),'Monthly Activity Log'!K192,"")</f>
        <v/>
      </c>
    </row>
    <row r="194" ht="15.75" customHeight="1" s="65">
      <c r="A194" s="69">
        <f>IF(AND(('Monthly Activity Log'!C193&lt;&gt;""),(OR($B$3="All",'Monthly Activity Log'!C193=$B$3)),(OR($E$3="All",'Monthly Activity Log'!B193=$E$3))),ROW()-4,"")</f>
        <v/>
      </c>
      <c r="B194" s="70">
        <f>IF(AND(('Monthly Activity Log'!C193&lt;&gt;""),(OR($B$3="All",'Monthly Activity Log'!C193=$B$3)),(OR($E$3="All",'Monthly Activity Log'!B193=$E$3))),'Monthly Activity Log'!B193,"")</f>
        <v/>
      </c>
      <c r="C194" s="70">
        <f>IF(AND(('Monthly Activity Log'!C193&lt;&gt;""),(OR($B$3="All",'Monthly Activity Log'!C193=$B$3)),(OR($E$3="All",'Monthly Activity Log'!B193=$E$3))),'Monthly Activity Log'!C193,"")</f>
        <v/>
      </c>
      <c r="D194" s="70">
        <f>IF(AND(('Monthly Activity Log'!C193&lt;&gt;""),(OR($B$3="All",'Monthly Activity Log'!C193=$B$3)),(OR($E$3="All",'Monthly Activity Log'!B193=$E$3))),'Monthly Activity Log'!D193,"")</f>
        <v/>
      </c>
      <c r="E194" s="70">
        <f>IF(AND(('Monthly Activity Log'!C193&lt;&gt;""),(OR($B$3="All",'Monthly Activity Log'!C193=$B$3)),(OR($E$3="All",'Monthly Activity Log'!B193=$E$3))),'Monthly Activity Log'!E193,"")</f>
        <v/>
      </c>
      <c r="F194" s="70">
        <f>IF(AND(('Monthly Activity Log'!C193&lt;&gt;""),(OR($B$3="All",'Monthly Activity Log'!C193=$B$3)),(OR($E$3="All",'Monthly Activity Log'!B193=$E$3))),'Monthly Activity Log'!F193,"")</f>
        <v/>
      </c>
      <c r="G194" s="70">
        <f>IF(AND(('Monthly Activity Log'!C193&lt;&gt;""),(OR($B$3="All",'Monthly Activity Log'!C193=$B$3)),(OR($E$3="All",'Monthly Activity Log'!B193=$E$3))),'Monthly Activity Log'!G193,"")</f>
        <v/>
      </c>
      <c r="H194" s="70">
        <f>IF(AND(('Monthly Activity Log'!C193&lt;&gt;""),(OR($B$3="All",'Monthly Activity Log'!C193=$B$3)),(OR($E$3="All",'Monthly Activity Log'!B193=$E$3))),'Monthly Activity Log'!H193,"")</f>
        <v/>
      </c>
      <c r="I194" s="70">
        <f>IF(AND(('Monthly Activity Log'!C193&lt;&gt;""),(OR($B$3="All",'Monthly Activity Log'!C193=$B$3)),(OR($E$3="All",'Monthly Activity Log'!B193=$E$3))),'Monthly Activity Log'!I193,"")</f>
        <v/>
      </c>
      <c r="J194" s="70">
        <f>IF(AND(('Monthly Activity Log'!C193&lt;&gt;""),(OR($B$3="All",'Monthly Activity Log'!C193=$B$3)),(OR($E$3="All",'Monthly Activity Log'!B193=$E$3))),'Monthly Activity Log'!J193,"")</f>
        <v/>
      </c>
      <c r="K194" s="70">
        <f>IF(AND(('Monthly Activity Log'!C193&lt;&gt;""),(OR($B$3="All",'Monthly Activity Log'!C193=$B$3)),(OR($E$3="All",'Monthly Activity Log'!B193=$E$3))),'Monthly Activity Log'!K193,"")</f>
        <v/>
      </c>
    </row>
    <row r="195" ht="15.75" customHeight="1" s="65">
      <c r="A195" s="73">
        <f>IF(AND(('Monthly Activity Log'!C194&lt;&gt;""),(OR($B$3="All",'Monthly Activity Log'!C194=$B$3)),(OR($E$3="All",'Monthly Activity Log'!B194=$E$3))),ROW()-4,"")</f>
        <v/>
      </c>
      <c r="B195" s="74">
        <f>IF(AND(('Monthly Activity Log'!C194&lt;&gt;""),(OR($B$3="All",'Monthly Activity Log'!C194=$B$3)),(OR($E$3="All",'Monthly Activity Log'!B194=$E$3))),'Monthly Activity Log'!B194,"")</f>
        <v/>
      </c>
      <c r="C195" s="74">
        <f>IF(AND(('Monthly Activity Log'!C194&lt;&gt;""),(OR($B$3="All",'Monthly Activity Log'!C194=$B$3)),(OR($E$3="All",'Monthly Activity Log'!B194=$E$3))),'Monthly Activity Log'!C194,"")</f>
        <v/>
      </c>
      <c r="D195" s="74">
        <f>IF(AND(('Monthly Activity Log'!C194&lt;&gt;""),(OR($B$3="All",'Monthly Activity Log'!C194=$B$3)),(OR($E$3="All",'Monthly Activity Log'!B194=$E$3))),'Monthly Activity Log'!D194,"")</f>
        <v/>
      </c>
      <c r="E195" s="74">
        <f>IF(AND(('Monthly Activity Log'!C194&lt;&gt;""),(OR($B$3="All",'Monthly Activity Log'!C194=$B$3)),(OR($E$3="All",'Monthly Activity Log'!B194=$E$3))),'Monthly Activity Log'!E194,"")</f>
        <v/>
      </c>
      <c r="F195" s="74">
        <f>IF(AND(('Monthly Activity Log'!C194&lt;&gt;""),(OR($B$3="All",'Monthly Activity Log'!C194=$B$3)),(OR($E$3="All",'Monthly Activity Log'!B194=$E$3))),'Monthly Activity Log'!F194,"")</f>
        <v/>
      </c>
      <c r="G195" s="74">
        <f>IF(AND(('Monthly Activity Log'!C194&lt;&gt;""),(OR($B$3="All",'Monthly Activity Log'!C194=$B$3)),(OR($E$3="All",'Monthly Activity Log'!B194=$E$3))),'Monthly Activity Log'!G194,"")</f>
        <v/>
      </c>
      <c r="H195" s="74">
        <f>IF(AND(('Monthly Activity Log'!C194&lt;&gt;""),(OR($B$3="All",'Monthly Activity Log'!C194=$B$3)),(OR($E$3="All",'Monthly Activity Log'!B194=$E$3))),'Monthly Activity Log'!H194,"")</f>
        <v/>
      </c>
      <c r="I195" s="74">
        <f>IF(AND(('Monthly Activity Log'!C194&lt;&gt;""),(OR($B$3="All",'Monthly Activity Log'!C194=$B$3)),(OR($E$3="All",'Monthly Activity Log'!B194=$E$3))),'Monthly Activity Log'!I194,"")</f>
        <v/>
      </c>
      <c r="J195" s="74">
        <f>IF(AND(('Monthly Activity Log'!C194&lt;&gt;""),(OR($B$3="All",'Monthly Activity Log'!C194=$B$3)),(OR($E$3="All",'Monthly Activity Log'!B194=$E$3))),'Monthly Activity Log'!J194,"")</f>
        <v/>
      </c>
      <c r="K195" s="74">
        <f>IF(AND(('Monthly Activity Log'!C194&lt;&gt;""),(OR($B$3="All",'Monthly Activity Log'!C194=$B$3)),(OR($E$3="All",'Monthly Activity Log'!B194=$E$3))),'Monthly Activity Log'!K194,"")</f>
        <v/>
      </c>
    </row>
    <row r="196" ht="15.75" customHeight="1" s="65">
      <c r="A196" s="69">
        <f>IF(AND(('Monthly Activity Log'!C195&lt;&gt;""),(OR($B$3="All",'Monthly Activity Log'!C195=$B$3)),(OR($E$3="All",'Monthly Activity Log'!B195=$E$3))),ROW()-4,"")</f>
        <v/>
      </c>
      <c r="B196" s="70">
        <f>IF(AND(('Monthly Activity Log'!C195&lt;&gt;""),(OR($B$3="All",'Monthly Activity Log'!C195=$B$3)),(OR($E$3="All",'Monthly Activity Log'!B195=$E$3))),'Monthly Activity Log'!B195,"")</f>
        <v/>
      </c>
      <c r="C196" s="70">
        <f>IF(AND(('Monthly Activity Log'!C195&lt;&gt;""),(OR($B$3="All",'Monthly Activity Log'!C195=$B$3)),(OR($E$3="All",'Monthly Activity Log'!B195=$E$3))),'Monthly Activity Log'!C195,"")</f>
        <v/>
      </c>
      <c r="D196" s="70">
        <f>IF(AND(('Monthly Activity Log'!C195&lt;&gt;""),(OR($B$3="All",'Monthly Activity Log'!C195=$B$3)),(OR($E$3="All",'Monthly Activity Log'!B195=$E$3))),'Monthly Activity Log'!D195,"")</f>
        <v/>
      </c>
      <c r="E196" s="70">
        <f>IF(AND(('Monthly Activity Log'!C195&lt;&gt;""),(OR($B$3="All",'Monthly Activity Log'!C195=$B$3)),(OR($E$3="All",'Monthly Activity Log'!B195=$E$3))),'Monthly Activity Log'!E195,"")</f>
        <v/>
      </c>
      <c r="F196" s="70">
        <f>IF(AND(('Monthly Activity Log'!C195&lt;&gt;""),(OR($B$3="All",'Monthly Activity Log'!C195=$B$3)),(OR($E$3="All",'Monthly Activity Log'!B195=$E$3))),'Monthly Activity Log'!F195,"")</f>
        <v/>
      </c>
      <c r="G196" s="70">
        <f>IF(AND(('Monthly Activity Log'!C195&lt;&gt;""),(OR($B$3="All",'Monthly Activity Log'!C195=$B$3)),(OR($E$3="All",'Monthly Activity Log'!B195=$E$3))),'Monthly Activity Log'!G195,"")</f>
        <v/>
      </c>
      <c r="H196" s="70">
        <f>IF(AND(('Monthly Activity Log'!C195&lt;&gt;""),(OR($B$3="All",'Monthly Activity Log'!C195=$B$3)),(OR($E$3="All",'Monthly Activity Log'!B195=$E$3))),'Monthly Activity Log'!H195,"")</f>
        <v/>
      </c>
      <c r="I196" s="70">
        <f>IF(AND(('Monthly Activity Log'!C195&lt;&gt;""),(OR($B$3="All",'Monthly Activity Log'!C195=$B$3)),(OR($E$3="All",'Monthly Activity Log'!B195=$E$3))),'Monthly Activity Log'!I195,"")</f>
        <v/>
      </c>
      <c r="J196" s="70">
        <f>IF(AND(('Monthly Activity Log'!C195&lt;&gt;""),(OR($B$3="All",'Monthly Activity Log'!C195=$B$3)),(OR($E$3="All",'Monthly Activity Log'!B195=$E$3))),'Monthly Activity Log'!J195,"")</f>
        <v/>
      </c>
      <c r="K196" s="70">
        <f>IF(AND(('Monthly Activity Log'!C195&lt;&gt;""),(OR($B$3="All",'Monthly Activity Log'!C195=$B$3)),(OR($E$3="All",'Monthly Activity Log'!B195=$E$3))),'Monthly Activity Log'!K195,"")</f>
        <v/>
      </c>
    </row>
    <row r="197" ht="15.75" customHeight="1" s="65">
      <c r="A197" s="73">
        <f>IF(AND(('Monthly Activity Log'!C196&lt;&gt;""),(OR($B$3="All",'Monthly Activity Log'!C196=$B$3)),(OR($E$3="All",'Monthly Activity Log'!B196=$E$3))),ROW()-4,"")</f>
        <v/>
      </c>
      <c r="B197" s="74">
        <f>IF(AND(('Monthly Activity Log'!C196&lt;&gt;""),(OR($B$3="All",'Monthly Activity Log'!C196=$B$3)),(OR($E$3="All",'Monthly Activity Log'!B196=$E$3))),'Monthly Activity Log'!B196,"")</f>
        <v/>
      </c>
      <c r="C197" s="74">
        <f>IF(AND(('Monthly Activity Log'!C196&lt;&gt;""),(OR($B$3="All",'Monthly Activity Log'!C196=$B$3)),(OR($E$3="All",'Monthly Activity Log'!B196=$E$3))),'Monthly Activity Log'!C196,"")</f>
        <v/>
      </c>
      <c r="D197" s="74">
        <f>IF(AND(('Monthly Activity Log'!C196&lt;&gt;""),(OR($B$3="All",'Monthly Activity Log'!C196=$B$3)),(OR($E$3="All",'Monthly Activity Log'!B196=$E$3))),'Monthly Activity Log'!D196,"")</f>
        <v/>
      </c>
      <c r="E197" s="74">
        <f>IF(AND(('Monthly Activity Log'!C196&lt;&gt;""),(OR($B$3="All",'Monthly Activity Log'!C196=$B$3)),(OR($E$3="All",'Monthly Activity Log'!B196=$E$3))),'Monthly Activity Log'!E196,"")</f>
        <v/>
      </c>
      <c r="F197" s="74">
        <f>IF(AND(('Monthly Activity Log'!C196&lt;&gt;""),(OR($B$3="All",'Monthly Activity Log'!C196=$B$3)),(OR($E$3="All",'Monthly Activity Log'!B196=$E$3))),'Monthly Activity Log'!F196,"")</f>
        <v/>
      </c>
      <c r="G197" s="74">
        <f>IF(AND(('Monthly Activity Log'!C196&lt;&gt;""),(OR($B$3="All",'Monthly Activity Log'!C196=$B$3)),(OR($E$3="All",'Monthly Activity Log'!B196=$E$3))),'Monthly Activity Log'!G196,"")</f>
        <v/>
      </c>
      <c r="H197" s="74">
        <f>IF(AND(('Monthly Activity Log'!C196&lt;&gt;""),(OR($B$3="All",'Monthly Activity Log'!C196=$B$3)),(OR($E$3="All",'Monthly Activity Log'!B196=$E$3))),'Monthly Activity Log'!H196,"")</f>
        <v/>
      </c>
      <c r="I197" s="74">
        <f>IF(AND(('Monthly Activity Log'!C196&lt;&gt;""),(OR($B$3="All",'Monthly Activity Log'!C196=$B$3)),(OR($E$3="All",'Monthly Activity Log'!B196=$E$3))),'Monthly Activity Log'!I196,"")</f>
        <v/>
      </c>
      <c r="J197" s="74">
        <f>IF(AND(('Monthly Activity Log'!C196&lt;&gt;""),(OR($B$3="All",'Monthly Activity Log'!C196=$B$3)),(OR($E$3="All",'Monthly Activity Log'!B196=$E$3))),'Monthly Activity Log'!J196,"")</f>
        <v/>
      </c>
      <c r="K197" s="74">
        <f>IF(AND(('Monthly Activity Log'!C196&lt;&gt;""),(OR($B$3="All",'Monthly Activity Log'!C196=$B$3)),(OR($E$3="All",'Monthly Activity Log'!B196=$E$3))),'Monthly Activity Log'!K196,"")</f>
        <v/>
      </c>
    </row>
    <row r="198" ht="15.75" customHeight="1" s="65">
      <c r="A198" s="69">
        <f>IF(AND(('Monthly Activity Log'!C197&lt;&gt;""),(OR($B$3="All",'Monthly Activity Log'!C197=$B$3)),(OR($E$3="All",'Monthly Activity Log'!B197=$E$3))),ROW()-4,"")</f>
        <v/>
      </c>
      <c r="B198" s="70">
        <f>IF(AND(('Monthly Activity Log'!C197&lt;&gt;""),(OR($B$3="All",'Monthly Activity Log'!C197=$B$3)),(OR($E$3="All",'Monthly Activity Log'!B197=$E$3))),'Monthly Activity Log'!B197,"")</f>
        <v/>
      </c>
      <c r="C198" s="70">
        <f>IF(AND(('Monthly Activity Log'!C197&lt;&gt;""),(OR($B$3="All",'Monthly Activity Log'!C197=$B$3)),(OR($E$3="All",'Monthly Activity Log'!B197=$E$3))),'Monthly Activity Log'!C197,"")</f>
        <v/>
      </c>
      <c r="D198" s="70">
        <f>IF(AND(('Monthly Activity Log'!C197&lt;&gt;""),(OR($B$3="All",'Monthly Activity Log'!C197=$B$3)),(OR($E$3="All",'Monthly Activity Log'!B197=$E$3))),'Monthly Activity Log'!D197,"")</f>
        <v/>
      </c>
      <c r="E198" s="70">
        <f>IF(AND(('Monthly Activity Log'!C197&lt;&gt;""),(OR($B$3="All",'Monthly Activity Log'!C197=$B$3)),(OR($E$3="All",'Monthly Activity Log'!B197=$E$3))),'Monthly Activity Log'!E197,"")</f>
        <v/>
      </c>
      <c r="F198" s="70">
        <f>IF(AND(('Monthly Activity Log'!C197&lt;&gt;""),(OR($B$3="All",'Monthly Activity Log'!C197=$B$3)),(OR($E$3="All",'Monthly Activity Log'!B197=$E$3))),'Monthly Activity Log'!F197,"")</f>
        <v/>
      </c>
      <c r="G198" s="70">
        <f>IF(AND(('Monthly Activity Log'!C197&lt;&gt;""),(OR($B$3="All",'Monthly Activity Log'!C197=$B$3)),(OR($E$3="All",'Monthly Activity Log'!B197=$E$3))),'Monthly Activity Log'!G197,"")</f>
        <v/>
      </c>
      <c r="H198" s="70">
        <f>IF(AND(('Monthly Activity Log'!C197&lt;&gt;""),(OR($B$3="All",'Monthly Activity Log'!C197=$B$3)),(OR($E$3="All",'Monthly Activity Log'!B197=$E$3))),'Monthly Activity Log'!H197,"")</f>
        <v/>
      </c>
      <c r="I198" s="70">
        <f>IF(AND(('Monthly Activity Log'!C197&lt;&gt;""),(OR($B$3="All",'Monthly Activity Log'!C197=$B$3)),(OR($E$3="All",'Monthly Activity Log'!B197=$E$3))),'Monthly Activity Log'!I197,"")</f>
        <v/>
      </c>
      <c r="J198" s="70">
        <f>IF(AND(('Monthly Activity Log'!C197&lt;&gt;""),(OR($B$3="All",'Monthly Activity Log'!C197=$B$3)),(OR($E$3="All",'Monthly Activity Log'!B197=$E$3))),'Monthly Activity Log'!J197,"")</f>
        <v/>
      </c>
      <c r="K198" s="70">
        <f>IF(AND(('Monthly Activity Log'!C197&lt;&gt;""),(OR($B$3="All",'Monthly Activity Log'!C197=$B$3)),(OR($E$3="All",'Monthly Activity Log'!B197=$E$3))),'Monthly Activity Log'!K197,"")</f>
        <v/>
      </c>
    </row>
    <row r="199" ht="15.75" customHeight="1" s="65">
      <c r="A199" s="73">
        <f>IF(AND(('Monthly Activity Log'!C198&lt;&gt;""),(OR($B$3="All",'Monthly Activity Log'!C198=$B$3)),(OR($E$3="All",'Monthly Activity Log'!B198=$E$3))),ROW()-4,"")</f>
        <v/>
      </c>
      <c r="B199" s="74">
        <f>IF(AND(('Monthly Activity Log'!C198&lt;&gt;""),(OR($B$3="All",'Monthly Activity Log'!C198=$B$3)),(OR($E$3="All",'Monthly Activity Log'!B198=$E$3))),'Monthly Activity Log'!B198,"")</f>
        <v/>
      </c>
      <c r="C199" s="74">
        <f>IF(AND(('Monthly Activity Log'!C198&lt;&gt;""),(OR($B$3="All",'Monthly Activity Log'!C198=$B$3)),(OR($E$3="All",'Monthly Activity Log'!B198=$E$3))),'Monthly Activity Log'!C198,"")</f>
        <v/>
      </c>
      <c r="D199" s="74">
        <f>IF(AND(('Monthly Activity Log'!C198&lt;&gt;""),(OR($B$3="All",'Monthly Activity Log'!C198=$B$3)),(OR($E$3="All",'Monthly Activity Log'!B198=$E$3))),'Monthly Activity Log'!D198,"")</f>
        <v/>
      </c>
      <c r="E199" s="74">
        <f>IF(AND(('Monthly Activity Log'!C198&lt;&gt;""),(OR($B$3="All",'Monthly Activity Log'!C198=$B$3)),(OR($E$3="All",'Monthly Activity Log'!B198=$E$3))),'Monthly Activity Log'!E198,"")</f>
        <v/>
      </c>
      <c r="F199" s="74">
        <f>IF(AND(('Monthly Activity Log'!C198&lt;&gt;""),(OR($B$3="All",'Monthly Activity Log'!C198=$B$3)),(OR($E$3="All",'Monthly Activity Log'!B198=$E$3))),'Monthly Activity Log'!F198,"")</f>
        <v/>
      </c>
      <c r="G199" s="74">
        <f>IF(AND(('Monthly Activity Log'!C198&lt;&gt;""),(OR($B$3="All",'Monthly Activity Log'!C198=$B$3)),(OR($E$3="All",'Monthly Activity Log'!B198=$E$3))),'Monthly Activity Log'!G198,"")</f>
        <v/>
      </c>
      <c r="H199" s="74">
        <f>IF(AND(('Monthly Activity Log'!C198&lt;&gt;""),(OR($B$3="All",'Monthly Activity Log'!C198=$B$3)),(OR($E$3="All",'Monthly Activity Log'!B198=$E$3))),'Monthly Activity Log'!H198,"")</f>
        <v/>
      </c>
      <c r="I199" s="74">
        <f>IF(AND(('Monthly Activity Log'!C198&lt;&gt;""),(OR($B$3="All",'Monthly Activity Log'!C198=$B$3)),(OR($E$3="All",'Monthly Activity Log'!B198=$E$3))),'Monthly Activity Log'!I198,"")</f>
        <v/>
      </c>
      <c r="J199" s="74">
        <f>IF(AND(('Monthly Activity Log'!C198&lt;&gt;""),(OR($B$3="All",'Monthly Activity Log'!C198=$B$3)),(OR($E$3="All",'Monthly Activity Log'!B198=$E$3))),'Monthly Activity Log'!J198,"")</f>
        <v/>
      </c>
      <c r="K199" s="74">
        <f>IF(AND(('Monthly Activity Log'!C198&lt;&gt;""),(OR($B$3="All",'Monthly Activity Log'!C198=$B$3)),(OR($E$3="All",'Monthly Activity Log'!B198=$E$3))),'Monthly Activity Log'!K198,"")</f>
        <v/>
      </c>
    </row>
    <row r="200" ht="15.75" customHeight="1" s="65">
      <c r="A200" s="69">
        <f>IF(AND(('Monthly Activity Log'!C199&lt;&gt;""),(OR($B$3="All",'Monthly Activity Log'!C199=$B$3)),(OR($E$3="All",'Monthly Activity Log'!B199=$E$3))),ROW()-4,"")</f>
        <v/>
      </c>
      <c r="B200" s="70">
        <f>IF(AND(('Monthly Activity Log'!C199&lt;&gt;""),(OR($B$3="All",'Monthly Activity Log'!C199=$B$3)),(OR($E$3="All",'Monthly Activity Log'!B199=$E$3))),'Monthly Activity Log'!B199,"")</f>
        <v/>
      </c>
      <c r="C200" s="70">
        <f>IF(AND(('Monthly Activity Log'!C199&lt;&gt;""),(OR($B$3="All",'Monthly Activity Log'!C199=$B$3)),(OR($E$3="All",'Monthly Activity Log'!B199=$E$3))),'Monthly Activity Log'!C199,"")</f>
        <v/>
      </c>
      <c r="D200" s="70">
        <f>IF(AND(('Monthly Activity Log'!C199&lt;&gt;""),(OR($B$3="All",'Monthly Activity Log'!C199=$B$3)),(OR($E$3="All",'Monthly Activity Log'!B199=$E$3))),'Monthly Activity Log'!D199,"")</f>
        <v/>
      </c>
      <c r="E200" s="70">
        <f>IF(AND(('Monthly Activity Log'!C199&lt;&gt;""),(OR($B$3="All",'Monthly Activity Log'!C199=$B$3)),(OR($E$3="All",'Monthly Activity Log'!B199=$E$3))),'Monthly Activity Log'!E199,"")</f>
        <v/>
      </c>
      <c r="F200" s="70">
        <f>IF(AND(('Monthly Activity Log'!C199&lt;&gt;""),(OR($B$3="All",'Monthly Activity Log'!C199=$B$3)),(OR($E$3="All",'Monthly Activity Log'!B199=$E$3))),'Monthly Activity Log'!F199,"")</f>
        <v/>
      </c>
      <c r="G200" s="70">
        <f>IF(AND(('Monthly Activity Log'!C199&lt;&gt;""),(OR($B$3="All",'Monthly Activity Log'!C199=$B$3)),(OR($E$3="All",'Monthly Activity Log'!B199=$E$3))),'Monthly Activity Log'!G199,"")</f>
        <v/>
      </c>
      <c r="H200" s="70">
        <f>IF(AND(('Monthly Activity Log'!C199&lt;&gt;""),(OR($B$3="All",'Monthly Activity Log'!C199=$B$3)),(OR($E$3="All",'Monthly Activity Log'!B199=$E$3))),'Monthly Activity Log'!H199,"")</f>
        <v/>
      </c>
      <c r="I200" s="70">
        <f>IF(AND(('Monthly Activity Log'!C199&lt;&gt;""),(OR($B$3="All",'Monthly Activity Log'!C199=$B$3)),(OR($E$3="All",'Monthly Activity Log'!B199=$E$3))),'Monthly Activity Log'!I199,"")</f>
        <v/>
      </c>
      <c r="J200" s="70">
        <f>IF(AND(('Monthly Activity Log'!C199&lt;&gt;""),(OR($B$3="All",'Monthly Activity Log'!C199=$B$3)),(OR($E$3="All",'Monthly Activity Log'!B199=$E$3))),'Monthly Activity Log'!J199,"")</f>
        <v/>
      </c>
      <c r="K200" s="70">
        <f>IF(AND(('Monthly Activity Log'!C199&lt;&gt;""),(OR($B$3="All",'Monthly Activity Log'!C199=$B$3)),(OR($E$3="All",'Monthly Activity Log'!B199=$E$3))),'Monthly Activity Log'!K199,"")</f>
        <v/>
      </c>
    </row>
    <row r="201" ht="15.75" customHeight="1" s="65">
      <c r="A201" s="73">
        <f>IF(AND(('Monthly Activity Log'!C200&lt;&gt;""),(OR($B$3="All",'Monthly Activity Log'!C200=$B$3)),(OR($E$3="All",'Monthly Activity Log'!B200=$E$3))),ROW()-4,"")</f>
        <v/>
      </c>
      <c r="B201" s="74">
        <f>IF(AND(('Monthly Activity Log'!C200&lt;&gt;""),(OR($B$3="All",'Monthly Activity Log'!C200=$B$3)),(OR($E$3="All",'Monthly Activity Log'!B200=$E$3))),'Monthly Activity Log'!B200,"")</f>
        <v/>
      </c>
      <c r="C201" s="74">
        <f>IF(AND(('Monthly Activity Log'!C200&lt;&gt;""),(OR($B$3="All",'Monthly Activity Log'!C200=$B$3)),(OR($E$3="All",'Monthly Activity Log'!B200=$E$3))),'Monthly Activity Log'!C200,"")</f>
        <v/>
      </c>
      <c r="D201" s="74">
        <f>IF(AND(('Monthly Activity Log'!C200&lt;&gt;""),(OR($B$3="All",'Monthly Activity Log'!C200=$B$3)),(OR($E$3="All",'Monthly Activity Log'!B200=$E$3))),'Monthly Activity Log'!D200,"")</f>
        <v/>
      </c>
      <c r="E201" s="74">
        <f>IF(AND(('Monthly Activity Log'!C200&lt;&gt;""),(OR($B$3="All",'Monthly Activity Log'!C200=$B$3)),(OR($E$3="All",'Monthly Activity Log'!B200=$E$3))),'Monthly Activity Log'!E200,"")</f>
        <v/>
      </c>
      <c r="F201" s="74">
        <f>IF(AND(('Monthly Activity Log'!C200&lt;&gt;""),(OR($B$3="All",'Monthly Activity Log'!C200=$B$3)),(OR($E$3="All",'Monthly Activity Log'!B200=$E$3))),'Monthly Activity Log'!F200,"")</f>
        <v/>
      </c>
      <c r="G201" s="74">
        <f>IF(AND(('Monthly Activity Log'!C200&lt;&gt;""),(OR($B$3="All",'Monthly Activity Log'!C200=$B$3)),(OR($E$3="All",'Monthly Activity Log'!B200=$E$3))),'Monthly Activity Log'!G200,"")</f>
        <v/>
      </c>
      <c r="H201" s="74">
        <f>IF(AND(('Monthly Activity Log'!C200&lt;&gt;""),(OR($B$3="All",'Monthly Activity Log'!C200=$B$3)),(OR($E$3="All",'Monthly Activity Log'!B200=$E$3))),'Monthly Activity Log'!H200,"")</f>
        <v/>
      </c>
      <c r="I201" s="74">
        <f>IF(AND(('Monthly Activity Log'!C200&lt;&gt;""),(OR($B$3="All",'Monthly Activity Log'!C200=$B$3)),(OR($E$3="All",'Monthly Activity Log'!B200=$E$3))),'Monthly Activity Log'!I200,"")</f>
        <v/>
      </c>
      <c r="J201" s="74">
        <f>IF(AND(('Monthly Activity Log'!C200&lt;&gt;""),(OR($B$3="All",'Monthly Activity Log'!C200=$B$3)),(OR($E$3="All",'Monthly Activity Log'!B200=$E$3))),'Monthly Activity Log'!J200,"")</f>
        <v/>
      </c>
      <c r="K201" s="74">
        <f>IF(AND(('Monthly Activity Log'!C200&lt;&gt;""),(OR($B$3="All",'Monthly Activity Log'!C200=$B$3)),(OR($E$3="All",'Monthly Activity Log'!B200=$E$3))),'Monthly Activity Log'!K200,"")</f>
        <v/>
      </c>
    </row>
    <row r="202" ht="15.75" customHeight="1" s="65">
      <c r="A202" s="69">
        <f>IF(AND(('Monthly Activity Log'!C201&lt;&gt;""),(OR($B$3="All",'Monthly Activity Log'!C201=$B$3)),(OR($E$3="All",'Monthly Activity Log'!B201=$E$3))),ROW()-4,"")</f>
        <v/>
      </c>
      <c r="B202" s="70">
        <f>IF(AND(('Monthly Activity Log'!C201&lt;&gt;""),(OR($B$3="All",'Monthly Activity Log'!C201=$B$3)),(OR($E$3="All",'Monthly Activity Log'!B201=$E$3))),'Monthly Activity Log'!B201,"")</f>
        <v/>
      </c>
      <c r="C202" s="70">
        <f>IF(AND(('Monthly Activity Log'!C201&lt;&gt;""),(OR($B$3="All",'Monthly Activity Log'!C201=$B$3)),(OR($E$3="All",'Monthly Activity Log'!B201=$E$3))),'Monthly Activity Log'!C201,"")</f>
        <v/>
      </c>
      <c r="D202" s="70">
        <f>IF(AND(('Monthly Activity Log'!C201&lt;&gt;""),(OR($B$3="All",'Monthly Activity Log'!C201=$B$3)),(OR($E$3="All",'Monthly Activity Log'!B201=$E$3))),'Monthly Activity Log'!D201,"")</f>
        <v/>
      </c>
      <c r="E202" s="70">
        <f>IF(AND(('Monthly Activity Log'!C201&lt;&gt;""),(OR($B$3="All",'Monthly Activity Log'!C201=$B$3)),(OR($E$3="All",'Monthly Activity Log'!B201=$E$3))),'Monthly Activity Log'!E201,"")</f>
        <v/>
      </c>
      <c r="F202" s="70">
        <f>IF(AND(('Monthly Activity Log'!C201&lt;&gt;""),(OR($B$3="All",'Monthly Activity Log'!C201=$B$3)),(OR($E$3="All",'Monthly Activity Log'!B201=$E$3))),'Monthly Activity Log'!F201,"")</f>
        <v/>
      </c>
      <c r="G202" s="70">
        <f>IF(AND(('Monthly Activity Log'!C201&lt;&gt;""),(OR($B$3="All",'Monthly Activity Log'!C201=$B$3)),(OR($E$3="All",'Monthly Activity Log'!B201=$E$3))),'Monthly Activity Log'!G201,"")</f>
        <v/>
      </c>
      <c r="H202" s="70">
        <f>IF(AND(('Monthly Activity Log'!C201&lt;&gt;""),(OR($B$3="All",'Monthly Activity Log'!C201=$B$3)),(OR($E$3="All",'Monthly Activity Log'!B201=$E$3))),'Monthly Activity Log'!H201,"")</f>
        <v/>
      </c>
      <c r="I202" s="70">
        <f>IF(AND(('Monthly Activity Log'!C201&lt;&gt;""),(OR($B$3="All",'Monthly Activity Log'!C201=$B$3)),(OR($E$3="All",'Monthly Activity Log'!B201=$E$3))),'Monthly Activity Log'!I201,"")</f>
        <v/>
      </c>
      <c r="J202" s="70">
        <f>IF(AND(('Monthly Activity Log'!C201&lt;&gt;""),(OR($B$3="All",'Monthly Activity Log'!C201=$B$3)),(OR($E$3="All",'Monthly Activity Log'!B201=$E$3))),'Monthly Activity Log'!J201,"")</f>
        <v/>
      </c>
      <c r="K202" s="70">
        <f>IF(AND(('Monthly Activity Log'!C201&lt;&gt;""),(OR($B$3="All",'Monthly Activity Log'!C201=$B$3)),(OR($E$3="All",'Monthly Activity Log'!B201=$E$3))),'Monthly Activity Log'!K201,"")</f>
        <v/>
      </c>
    </row>
    <row r="203" ht="15.75" customHeight="1" s="65">
      <c r="A203" s="73">
        <f>IF(AND(('Monthly Activity Log'!C202&lt;&gt;""),(OR($B$3="All",'Monthly Activity Log'!C202=$B$3)),(OR($E$3="All",'Monthly Activity Log'!B202=$E$3))),ROW()-4,"")</f>
        <v/>
      </c>
      <c r="B203" s="74">
        <f>IF(AND(('Monthly Activity Log'!C202&lt;&gt;""),(OR($B$3="All",'Monthly Activity Log'!C202=$B$3)),(OR($E$3="All",'Monthly Activity Log'!B202=$E$3))),'Monthly Activity Log'!B202,"")</f>
        <v/>
      </c>
      <c r="C203" s="74">
        <f>IF(AND(('Monthly Activity Log'!C202&lt;&gt;""),(OR($B$3="All",'Monthly Activity Log'!C202=$B$3)),(OR($E$3="All",'Monthly Activity Log'!B202=$E$3))),'Monthly Activity Log'!C202,"")</f>
        <v/>
      </c>
      <c r="D203" s="74">
        <f>IF(AND(('Monthly Activity Log'!C202&lt;&gt;""),(OR($B$3="All",'Monthly Activity Log'!C202=$B$3)),(OR($E$3="All",'Monthly Activity Log'!B202=$E$3))),'Monthly Activity Log'!D202,"")</f>
        <v/>
      </c>
      <c r="E203" s="74">
        <f>IF(AND(('Monthly Activity Log'!C202&lt;&gt;""),(OR($B$3="All",'Monthly Activity Log'!C202=$B$3)),(OR($E$3="All",'Monthly Activity Log'!B202=$E$3))),'Monthly Activity Log'!E202,"")</f>
        <v/>
      </c>
      <c r="F203" s="74">
        <f>IF(AND(('Monthly Activity Log'!C202&lt;&gt;""),(OR($B$3="All",'Monthly Activity Log'!C202=$B$3)),(OR($E$3="All",'Monthly Activity Log'!B202=$E$3))),'Monthly Activity Log'!F202,"")</f>
        <v/>
      </c>
      <c r="G203" s="74">
        <f>IF(AND(('Monthly Activity Log'!C202&lt;&gt;""),(OR($B$3="All",'Monthly Activity Log'!C202=$B$3)),(OR($E$3="All",'Monthly Activity Log'!B202=$E$3))),'Monthly Activity Log'!G202,"")</f>
        <v/>
      </c>
      <c r="H203" s="74">
        <f>IF(AND(('Monthly Activity Log'!C202&lt;&gt;""),(OR($B$3="All",'Monthly Activity Log'!C202=$B$3)),(OR($E$3="All",'Monthly Activity Log'!B202=$E$3))),'Monthly Activity Log'!H202,"")</f>
        <v/>
      </c>
      <c r="I203" s="74">
        <f>IF(AND(('Monthly Activity Log'!C202&lt;&gt;""),(OR($B$3="All",'Monthly Activity Log'!C202=$B$3)),(OR($E$3="All",'Monthly Activity Log'!B202=$E$3))),'Monthly Activity Log'!I202,"")</f>
        <v/>
      </c>
      <c r="J203" s="74">
        <f>IF(AND(('Monthly Activity Log'!C202&lt;&gt;""),(OR($B$3="All",'Monthly Activity Log'!C202=$B$3)),(OR($E$3="All",'Monthly Activity Log'!B202=$E$3))),'Monthly Activity Log'!J202,"")</f>
        <v/>
      </c>
      <c r="K203" s="74">
        <f>IF(AND(('Monthly Activity Log'!C202&lt;&gt;""),(OR($B$3="All",'Monthly Activity Log'!C202=$B$3)),(OR($E$3="All",'Monthly Activity Log'!B202=$E$3))),'Monthly Activity Log'!K202,"")</f>
        <v/>
      </c>
    </row>
    <row r="204" ht="15.75" customHeight="1" s="65">
      <c r="A204" s="69">
        <f>IF(AND(('Monthly Activity Log'!C203&lt;&gt;""),(OR($B$3="All",'Monthly Activity Log'!C203=$B$3)),(OR($E$3="All",'Monthly Activity Log'!B203=$E$3))),ROW()-4,"")</f>
        <v/>
      </c>
      <c r="B204" s="70">
        <f>IF(AND(('Monthly Activity Log'!C203&lt;&gt;""),(OR($B$3="All",'Monthly Activity Log'!C203=$B$3)),(OR($E$3="All",'Monthly Activity Log'!B203=$E$3))),'Monthly Activity Log'!B203,"")</f>
        <v/>
      </c>
      <c r="C204" s="70">
        <f>IF(AND(('Monthly Activity Log'!C203&lt;&gt;""),(OR($B$3="All",'Monthly Activity Log'!C203=$B$3)),(OR($E$3="All",'Monthly Activity Log'!B203=$E$3))),'Monthly Activity Log'!C203,"")</f>
        <v/>
      </c>
      <c r="D204" s="70">
        <f>IF(AND(('Monthly Activity Log'!C203&lt;&gt;""),(OR($B$3="All",'Monthly Activity Log'!C203=$B$3)),(OR($E$3="All",'Monthly Activity Log'!B203=$E$3))),'Monthly Activity Log'!D203,"")</f>
        <v/>
      </c>
      <c r="E204" s="70">
        <f>IF(AND(('Monthly Activity Log'!C203&lt;&gt;""),(OR($B$3="All",'Monthly Activity Log'!C203=$B$3)),(OR($E$3="All",'Monthly Activity Log'!B203=$E$3))),'Monthly Activity Log'!E203,"")</f>
        <v/>
      </c>
      <c r="F204" s="70">
        <f>IF(AND(('Monthly Activity Log'!C203&lt;&gt;""),(OR($B$3="All",'Monthly Activity Log'!C203=$B$3)),(OR($E$3="All",'Monthly Activity Log'!B203=$E$3))),'Monthly Activity Log'!F203,"")</f>
        <v/>
      </c>
      <c r="G204" s="70">
        <f>IF(AND(('Monthly Activity Log'!C203&lt;&gt;""),(OR($B$3="All",'Monthly Activity Log'!C203=$B$3)),(OR($E$3="All",'Monthly Activity Log'!B203=$E$3))),'Monthly Activity Log'!G203,"")</f>
        <v/>
      </c>
      <c r="H204" s="70">
        <f>IF(AND(('Monthly Activity Log'!C203&lt;&gt;""),(OR($B$3="All",'Monthly Activity Log'!C203=$B$3)),(OR($E$3="All",'Monthly Activity Log'!B203=$E$3))),'Monthly Activity Log'!H203,"")</f>
        <v/>
      </c>
      <c r="I204" s="70">
        <f>IF(AND(('Monthly Activity Log'!C203&lt;&gt;""),(OR($B$3="All",'Monthly Activity Log'!C203=$B$3)),(OR($E$3="All",'Monthly Activity Log'!B203=$E$3))),'Monthly Activity Log'!I203,"")</f>
        <v/>
      </c>
      <c r="J204" s="70">
        <f>IF(AND(('Monthly Activity Log'!C203&lt;&gt;""),(OR($B$3="All",'Monthly Activity Log'!C203=$B$3)),(OR($E$3="All",'Monthly Activity Log'!B203=$E$3))),'Monthly Activity Log'!J203,"")</f>
        <v/>
      </c>
      <c r="K204" s="70">
        <f>IF(AND(('Monthly Activity Log'!C203&lt;&gt;""),(OR($B$3="All",'Monthly Activity Log'!C203=$B$3)),(OR($E$3="All",'Monthly Activity Log'!B203=$E$3))),'Monthly Activity Log'!K203,"")</f>
        <v/>
      </c>
    </row>
  </sheetData>
  <autoFilter ref="A4:K4"/>
  <mergeCells count="2">
    <mergeCell ref="A2:K2"/>
    <mergeCell ref="A1:K1"/>
  </mergeCells>
  <conditionalFormatting sqref="K5:K204">
    <cfRule type="cellIs" rank="0" priority="2" equalAverage="0" operator="equal" aboveAverage="0" dxfId="0" text="" percent="0" bottom="0">
      <formula>"Completed"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"Pending"</formula>
    </cfRule>
  </conditionalFormatting>
  <dataValidations count="2">
    <dataValidation sqref="B3" showDropDown="0" showInputMessage="0" showErrorMessage="0" allowBlank="0" type="list" errorStyle="stop" operator="between">
      <formula1>"All,Shennaz,Nyameka,Lindiwe,T A Willems,Mphatheleni Matidze"</formula1>
      <formula2>0</formula2>
    </dataValidation>
    <dataValidation sqref="E3" showDropDown="0" showInputMessage="0" showErrorMessage="0" allowBlank="0" type="list" errorStyle="stop" operator="between">
      <formula1>"All,January,February,March,April,May,June,July,August,September,October,November,December"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26B0A"/>
    <outlinePr summaryBelow="1" summaryRight="1"/>
    <pageSetUpPr fitToPage="0"/>
  </sheetPr>
  <dimension ref="A1:J2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64" min="1" max="1"/>
    <col width="10" customWidth="1" style="64" min="2" max="2"/>
    <col width="12" customWidth="1" style="64" min="3" max="3"/>
    <col width="13" customWidth="1" style="64" min="4" max="4"/>
    <col width="10" customWidth="1" style="64" min="5" max="5"/>
    <col width="13" customWidth="1" style="64" min="6" max="6"/>
    <col width="14" customWidth="1" style="64" min="7" max="7"/>
    <col width="22" customWidth="1" style="64" min="8" max="8"/>
    <col width="18" customWidth="1" style="64" min="9" max="9"/>
    <col width="12" customWidth="1" style="64" min="10" max="10"/>
  </cols>
  <sheetData>
    <row r="1" ht="31.5" customHeight="1" s="65">
      <c r="A1" s="66" t="inlineStr">
        <is>
          <t>BA Team – Activities by Client</t>
        </is>
      </c>
    </row>
    <row r="2" ht="15.75" customHeight="1" s="65">
      <c r="A2" s="67" t="inlineStr">
        <is>
          <t>📌  Updates automatically from Monthly Activity Log. Use the Month filter to narrow results.</t>
        </is>
      </c>
    </row>
    <row r="3" ht="21.75" customHeight="1" s="65">
      <c r="A3" s="82" t="inlineStr">
        <is>
          <t>Filter: Month</t>
        </is>
      </c>
      <c r="B3" s="83" t="inlineStr">
        <is>
          <t>All</t>
        </is>
      </c>
    </row>
    <row r="4" ht="27.75" customHeight="1" s="65">
      <c r="A4" s="94" t="inlineStr">
        <is>
          <t>Client</t>
        </is>
      </c>
      <c r="B4" s="94" t="inlineStr">
        <is>
          <t>Total</t>
        </is>
      </c>
      <c r="C4" s="94" t="inlineStr">
        <is>
          <t>Completed</t>
        </is>
      </c>
      <c r="D4" s="94" t="inlineStr">
        <is>
          <t>In Progress</t>
        </is>
      </c>
      <c r="E4" s="94" t="inlineStr">
        <is>
          <t>Pending</t>
        </is>
      </c>
      <c r="F4" s="94" t="inlineStr">
        <is>
          <t>% Completed</t>
        </is>
      </c>
      <c r="G4" s="94" t="inlineStr">
        <is>
          <t>% of All Work</t>
        </is>
      </c>
      <c r="H4" s="94" t="inlineStr">
        <is>
          <t>Top Assignee</t>
        </is>
      </c>
      <c r="I4" s="94" t="inlineStr">
        <is>
          <t>Top Category</t>
        </is>
      </c>
      <c r="J4" s="94" t="inlineStr">
        <is>
          <t>Open Items</t>
        </is>
      </c>
    </row>
    <row r="5" ht="19.5" customHeight="1" s="65">
      <c r="A5" s="95" t="inlineStr">
        <is>
          <t>SANPC</t>
        </is>
      </c>
      <c r="B5" s="96">
        <f>IF($B$3="All",COUNTIF('Monthly Activity Log'!H$4:H$200,"SANPC"),COUNTIFS('Monthly Activity Log'!B$4:B$200,$B$3,'Monthly Activity Log'!H$4:H$200,"SANPC"))</f>
        <v/>
      </c>
      <c r="C5" s="96">
        <f>IF($B$3="All",COUNTIFS('Monthly Activity Log'!H$4:H$200,"SANPC",'Monthly Activity Log'!K$4:K$200,"Completed"),COUNTIFS('Monthly Activity Log'!B$4:B$200,$B$3,'Monthly Activity Log'!H$4:H$200,"SANPC",'Monthly Activity Log'!K$4:K$200,"Completed"))</f>
        <v/>
      </c>
      <c r="D5" s="96">
        <f>IF($B$3="All",COUNTIFS('Monthly Activity Log'!H$4:H$200,"SANPC",'Monthly Activity Log'!K$4:K$200,"In Progress"),COUNTIFS('Monthly Activity Log'!B$4:B$200,$B$3,'Monthly Activity Log'!H$4:H$200,"SANPC",'Monthly Activity Log'!K$4:K$200,"In Progress"))</f>
        <v/>
      </c>
      <c r="E5" s="96">
        <f>IF($B$3="All",COUNTIFS('Monthly Activity Log'!H$4:H$200,"SANPC",'Monthly Activity Log'!K$4:K$200,"Pending"),COUNTIFS('Monthly Activity Log'!B$4:B$200,$B$3,'Monthly Activity Log'!H$4:H$200,"SANPC",'Monthly Activity Log'!K$4:K$200,"Pending"))</f>
        <v/>
      </c>
      <c r="F5" s="97">
        <f>IFERROR(C5/B5,0)</f>
        <v/>
      </c>
      <c r="G5" s="97">
        <f>IFERROR(B5/'Summary Dashboard'!A7,0)</f>
        <v/>
      </c>
      <c r="H5" s="96">
        <f>IF(B5=0,"-",IF(IF($B$3="All",COUNTIFS('Monthly Activity Log'!H$4:H$200,"SANPC",'Monthly Activity Log'!C$4:C$200,"Shennaz"),COUNTIFS('Monthly Activity Log'!B$4:B$200,$B$3,'Monthly Activity Log'!H$4:H$200,"SANPC",'Monthly Activity Log'!C$4:C$200,"Shennaz"))=MAX(IF($B$3="All",COUNTIFS('Monthly Activity Log'!H$4:H$200,"SANPC",'Monthly Activity Log'!C$4:C$200,"Shennaz"),COUNTIFS('Monthly Activity Log'!B$4:B$200,$B$3,'Monthly Activity Log'!H$4:H$200,"SANPC",'Monthly Activity Log'!C$4:C$200,"Shennaz")),IF($B$3="All",COUNTIFS('Monthly Activity Log'!H$4:H$200,"SANPC",'Monthly Activity Log'!C$4:C$200,"Nyameka"),COUNTIFS('Monthly Activity Log'!B$4:B$200,$B$3,'Monthly Activity Log'!H$4:H$200,"SANPC",'Monthly Activity Log'!C$4:C$200,"Nyameka")),IF($B$3="All",COUNTIFS('Monthly Activity Log'!H$4:H$200,"SANPC",'Monthly Activity Log'!C$4:C$200,"Lindiwe"),COUNTIFS('Monthly Activity Log'!B$4:B$200,$B$3,'Monthly Activity Log'!H$4:H$200,"SANPC",'Monthly Activity Log'!C$4:C$200,"Lindiwe")),IF($B$3="All",COUNTIFS('Monthly Activity Log'!H$4:H$200,"SANPC",'Monthly Activity Log'!C$4:C$200,"T A Willems"),COUNTIFS('Monthly Activity Log'!B$4:B$200,$B$3,'Monthly Activity Log'!H$4:H$200,"SANPC",'Monthly Activity Log'!C$4:C$200,"T A Willems")),IF($B$3="All",COUNTIFS('Monthly Activity Log'!H$4:H$200,"SANPC",'Monthly Activity Log'!C$4:C$200,"Mphatheleni Matidze"),COUNTIFS('Monthly Activity Log'!B$4:B$200,$B$3,'Monthly Activity Log'!H$4:H$200,"SANPC",'Monthly Activity Log'!C$4:C$200,"Mphatheleni Matidze"))),"Shennaz",IF(IF($B$3="All",COUNTIFS('Monthly Activity Log'!H$4:H$200,"SANPC",'Monthly Activity Log'!C$4:C$200,"Nyameka"),COUNTIFS('Monthly Activity Log'!B$4:B$200,$B$3,'Monthly Activity Log'!H$4:H$200,"SANPC",'Monthly Activity Log'!C$4:C$200,"Nyameka"))=MAX(IF($B$3="All",COUNTIFS('Monthly Activity Log'!H$4:H$200,"SANPC",'Monthly Activity Log'!C$4:C$200,"Shennaz"),COUNTIFS('Monthly Activity Log'!B$4:B$200,$B$3,'Monthly Activity Log'!H$4:H$200,"SANPC",'Monthly Activity Log'!C$4:C$200,"Shennaz")),IF($B$3="All",COUNTIFS('Monthly Activity Log'!H$4:H$200,"SANPC",'Monthly Activity Log'!C$4:C$200,"Nyameka"),COUNTIFS('Monthly Activity Log'!B$4:B$200,$B$3,'Monthly Activity Log'!H$4:H$200,"SANPC",'Monthly Activity Log'!C$4:C$200,"Nyameka")),IF($B$3="All",COUNTIFS('Monthly Activity Log'!H$4:H$200,"SANPC",'Monthly Activity Log'!C$4:C$200,"Lindiwe"),COUNTIFS('Monthly Activity Log'!B$4:B$200,$B$3,'Monthly Activity Log'!H$4:H$200,"SANPC",'Monthly Activity Log'!C$4:C$200,"Lindiwe")),IF($B$3="All",COUNTIFS('Monthly Activity Log'!H$4:H$200,"SANPC",'Monthly Activity Log'!C$4:C$200,"T A Willems"),COUNTIFS('Monthly Activity Log'!B$4:B$200,$B$3,'Monthly Activity Log'!H$4:H$200,"SANPC",'Monthly Activity Log'!C$4:C$200,"T A Willems")),IF($B$3="All",COUNTIFS('Monthly Activity Log'!H$4:H$200,"SANPC",'Monthly Activity Log'!C$4:C$200,"Mphatheleni Matidze"),COUNTIFS('Monthly Activity Log'!B$4:B$200,$B$3,'Monthly Activity Log'!H$4:H$200,"SANPC",'Monthly Activity Log'!C$4:C$200,"Mphatheleni Matidze"))),"Nyameka",IF(IF($B$3="All",COUNTIFS('Monthly Activity Log'!H$4:H$200,"SANPC",'Monthly Activity Log'!C$4:C$200,"Lindiwe"),COUNTIFS('Monthly Activity Log'!B$4:B$200,$B$3,'Monthly Activity Log'!H$4:H$200,"SANPC",'Monthly Activity Log'!C$4:C$200,"Lindiwe"))=MAX(IF($B$3="All",COUNTIFS('Monthly Activity Log'!H$4:H$200,"SANPC",'Monthly Activity Log'!C$4:C$200,"Shennaz"),COUNTIFS('Monthly Activity Log'!B$4:B$200,$B$3,'Monthly Activity Log'!H$4:H$200,"SANPC",'Monthly Activity Log'!C$4:C$200,"Shennaz")),IF($B$3="All",COUNTIFS('Monthly Activity Log'!H$4:H$200,"SANPC",'Monthly Activity Log'!C$4:C$200,"Nyameka"),COUNTIFS('Monthly Activity Log'!B$4:B$200,$B$3,'Monthly Activity Log'!H$4:H$200,"SANPC",'Monthly Activity Log'!C$4:C$200,"Nyameka")),IF($B$3="All",COUNTIFS('Monthly Activity Log'!H$4:H$200,"SANPC",'Monthly Activity Log'!C$4:C$200,"Lindiwe"),COUNTIFS('Monthly Activity Log'!B$4:B$200,$B$3,'Monthly Activity Log'!H$4:H$200,"SANPC",'Monthly Activity Log'!C$4:C$200,"Lindiwe")),IF($B$3="All",COUNTIFS('Monthly Activity Log'!H$4:H$200,"SANPC",'Monthly Activity Log'!C$4:C$200,"T A Willems"),COUNTIFS('Monthly Activity Log'!B$4:B$200,$B$3,'Monthly Activity Log'!H$4:H$200,"SANPC",'Monthly Activity Log'!C$4:C$200,"T A Willems")),IF($B$3="All",COUNTIFS('Monthly Activity Log'!H$4:H$200,"SANPC",'Monthly Activity Log'!C$4:C$200,"Mphatheleni Matidze"),COUNTIFS('Monthly Activity Log'!B$4:B$200,$B$3,'Monthly Activity Log'!H$4:H$200,"SANPC",'Monthly Activity Log'!C$4:C$200,"Mphatheleni Matidze"))),"Lindiwe",IF(IF($B$3="All",COUNTIFS('Monthly Activity Log'!H$4:H$200,"SANPC",'Monthly Activity Log'!C$4:C$200,"T A Willems"),COUNTIFS('Monthly Activity Log'!B$4:B$200,$B$3,'Monthly Activity Log'!H$4:H$200,"SANPC",'Monthly Activity Log'!C$4:C$200,"T A Willems"))=MAX(IF($B$3="All",COUNTIFS('Monthly Activity Log'!H$4:H$200,"SANPC",'Monthly Activity Log'!C$4:C$200,"Shennaz"),COUNTIFS('Monthly Activity Log'!B$4:B$200,$B$3,'Monthly Activity Log'!H$4:H$200,"SANPC",'Monthly Activity Log'!C$4:C$200,"Shennaz")),IF($B$3="All",COUNTIFS('Monthly Activity Log'!H$4:H$200,"SANPC",'Monthly Activity Log'!C$4:C$200,"Nyameka"),COUNTIFS('Monthly Activity Log'!B$4:B$200,$B$3,'Monthly Activity Log'!H$4:H$200,"SANPC",'Monthly Activity Log'!C$4:C$200,"Nyameka")),IF($B$3="All",COUNTIFS('Monthly Activity Log'!H$4:H$200,"SANPC",'Monthly Activity Log'!C$4:C$200,"Lindiwe"),COUNTIFS('Monthly Activity Log'!B$4:B$200,$B$3,'Monthly Activity Log'!H$4:H$200,"SANPC",'Monthly Activity Log'!C$4:C$200,"Lindiwe")),IF($B$3="All",COUNTIFS('Monthly Activity Log'!H$4:H$200,"SANPC",'Monthly Activity Log'!C$4:C$200,"T A Willems"),COUNTIFS('Monthly Activity Log'!B$4:B$200,$B$3,'Monthly Activity Log'!H$4:H$200,"SANPC",'Monthly Activity Log'!C$4:C$200,"T A Willems")),IF($B$3="All",COUNTIFS('Monthly Activity Log'!H$4:H$200,"SANPC",'Monthly Activity Log'!C$4:C$200,"Mphatheleni Matidze"),COUNTIFS('Monthly Activity Log'!B$4:B$200,$B$3,'Monthly Activity Log'!H$4:H$200,"SANPC",'Monthly Activity Log'!C$4:C$200,"Mphatheleni Matidze"))),"T A Willems",IF(IF($B$3="All",COUNTIFS('Monthly Activity Log'!H$4:H$200,"SANPC",'Monthly Activity Log'!C$4:C$200,"Mphatheleni Matidze"),COUNTIFS('Monthly Activity Log'!B$4:B$200,$B$3,'Monthly Activity Log'!H$4:H$200,"SANPC",'Monthly Activity Log'!C$4:C$200,"Mphatheleni Matidze"))=MAX(IF($B$3="All",COUNTIFS('Monthly Activity Log'!H$4:H$200,"SANPC",'Monthly Activity Log'!C$4:C$200,"Shennaz"),COUNTIFS('Monthly Activity Log'!B$4:B$200,$B$3,'Monthly Activity Log'!H$4:H$200,"SANPC",'Monthly Activity Log'!C$4:C$200,"Shennaz")),IF($B$3="All",COUNTIFS('Monthly Activity Log'!H$4:H$200,"SANPC",'Monthly Activity Log'!C$4:C$200,"Nyameka"),COUNTIFS('Monthly Activity Log'!B$4:B$200,$B$3,'Monthly Activity Log'!H$4:H$200,"SANPC",'Monthly Activity Log'!C$4:C$200,"Nyameka")),IF($B$3="All",COUNTIFS('Monthly Activity Log'!H$4:H$200,"SANPC",'Monthly Activity Log'!C$4:C$200,"Lindiwe"),COUNTIFS('Monthly Activity Log'!B$4:B$200,$B$3,'Monthly Activity Log'!H$4:H$200,"SANPC",'Monthly Activity Log'!C$4:C$200,"Lindiwe")),IF($B$3="All",COUNTIFS('Monthly Activity Log'!H$4:H$200,"SANPC",'Monthly Activity Log'!C$4:C$200,"T A Willems"),COUNTIFS('Monthly Activity Log'!B$4:B$200,$B$3,'Monthly Activity Log'!H$4:H$200,"SANPC",'Monthly Activity Log'!C$4:C$200,"T A Willems")),IF($B$3="All",COUNTIFS('Monthly Activity Log'!H$4:H$200,"SANPC",'Monthly Activity Log'!C$4:C$200,"Mphatheleni Matidze"),COUNTIFS('Monthly Activity Log'!B$4:B$200,$B$3,'Monthly Activity Log'!H$4:H$200,"SANPC",'Monthly Activity Log'!C$4:C$200,"Mphatheleni Matidze"))),"Mphatheleni Matidze","-"))))))</f>
        <v/>
      </c>
      <c r="I5" s="96">
        <f>IF(B5=0,"-",IF(IF($B$3="All",COUNTIFS('Monthly Activity Log'!H$4:H$200,"SANPC",'Monthly Activity Log'!I$4:I$200,"Project"),COUNTIFS('Monthly Activity Log'!B$4:B$200,$B$3,'Monthly Activity Log'!H$4:H$200,"SANPC",'Monthly Activity Log'!I$4:I$200,"Project"))=MAX(IF($B$3="All",COUNTIFS('Monthly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Log'!I$4:I$200,"Other"))),"Project",IF(IF($B$3="All",COUNTIFS('Monthly Activity Log'!H$4:H$200,"SANPC",'Monthly Activity Log'!I$4:I$200,"Incident/Bug Fix"),COUNTIFS('Monthly Activity Log'!B$4:B$200,$B$3,'Monthly Activity Log'!H$4:H$200,"SANPC",'Monthly Activity Log'!I$4:I$200,"Incident/Bug Fix"))=MAX(IF($B$3="All",COUNTIFS('Monthly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Log'!I$4:I$200,"Other"))),"Incident/Bug Fix",IF(IF($B$3="All",COUNTIFS('Monthly Activity Log'!H$4:H$200,"SANPC",'Monthly Activity Log'!I$4:I$200,"Change Request"),COUNTIFS('Monthly Activity Log'!B$4:B$200,$B$3,'Monthly Activity Log'!H$4:H$200,"SANPC",'Monthly Activity Log'!I$4:I$200,"Change Request"))=MAX(IF($B$3="All",COUNTIFS('Monthly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Log'!I$4:I$200,"Other"))),"Change Request",IF(IF($B$3="All",COUNTIFS('Monthly Activity Log'!H$4:H$200,"SANPC",'Monthly Activity Log'!I$4:I$200,"User Support"),COUNTIFS('Monthly Activity Log'!B$4:B$200,$B$3,'Monthly Activity Log'!H$4:H$200,"SANPC",'Monthly Activity Log'!I$4:I$200,"User Support"))=MAX(IF($B$3="All",COUNTIFS('Monthly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Log'!I$4:I$200,"Other"))),"User Support",IF(IF($B$3="All",COUNTIFS('Monthly Activity Log'!H$4:H$200,"SANPC",'Monthly Activity Log'!I$4:I$200,"Admin/Config"),COUNTIFS('Monthly Activity Log'!B$4:B$200,$B$3,'Monthly Activity Log'!H$4:H$200,"SANPC",'Monthly Activity Log'!I$4:I$200,"Admin/Config"))=MAX(IF($B$3="All",COUNTIFS('Monthly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Log'!I$4:I$200,"Other"))),"Admin/Config",IF(IF($B$3="All",COUNTIFS('Monthly Activity Log'!H$4:H$200,"SANPC",'Monthly Activity Log'!I$4:I$200,"Reporting"),COUNTIFS('Monthly Activity Log'!B$4:B$200,$B$3,'Monthly Activity Log'!H$4:H$200,"SANPC",'Monthly Activity Log'!I$4:I$200,"Reporting"))=MAX(IF($B$3="All",COUNTIFS('Monthly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Log'!I$4:I$200,"Other"))),"Reporting",IF(IF($B$3="All",COUNTIFS('Monthly Activity Log'!H$4:H$200,"SANPC",'Monthly Activity Log'!I$4:I$200,"Mentoring"),COUNTIFS('Monthly Activity Log'!B$4:B$200,$B$3,'Monthly Activity Log'!H$4:H$200,"SANPC",'Monthly Activity Log'!I$4:I$200,"Mentoring"))=MAX(IF($B$3="All",COUNTIFS('Monthly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Log'!I$4:I$200,"Other"))),"Mentoring",IF(IF($B$3="All",COUNTIFS('Monthly Activity Log'!H$4:H$200,"SANPC",'Monthly Activity Log'!I$4:I$200,"Other"),COUNTIFS('Monthly Activity Log'!B$4:B$200,$B$3,'Monthly Activity Log'!H$4:H$200,"SANPC",'Monthly Activity Log'!I$4:I$200,"Other"))=MAX(IF($B$3="All",COUNTIFS('Monthly Activity Log'!H$4:H$200,"SANPC",'Monthly Activity Log'!I$4:I$200,"Project"),COUNTIFS('Monthly Activity Log'!B$4:B$200,$B$3,'Monthly Activity Log'!H$4:H$200,"SANPC",'Monthly Activity Log'!I$4:I$200,"Project")),IF($B$3="All",COUNTIFS('Monthly Activity Log'!H$4:H$200,"SANPC",'Monthly Activity Log'!I$4:I$200,"Incident/Bug Fix"),COUNTIFS('Monthly Activity Log'!B$4:B$200,$B$3,'Monthly Activity Log'!H$4:H$200,"SANPC",'Monthly Activity Log'!I$4:I$200,"Incident/Bug Fix")),IF($B$3="All",COUNTIFS('Monthly Activity Log'!H$4:H$200,"SANPC",'Monthly Activity Log'!I$4:I$200,"Change Request"),COUNTIFS('Monthly Activity Log'!B$4:B$200,$B$3,'Monthly Activity Log'!H$4:H$200,"SANPC",'Monthly Activity Log'!I$4:I$200,"Change Request")),IF($B$3="All",COUNTIFS('Monthly Activity Log'!H$4:H$200,"SANPC",'Monthly Activity Log'!I$4:I$200,"User Support"),COUNTIFS('Monthly Activity Log'!B$4:B$200,$B$3,'Monthly Activity Log'!H$4:H$200,"SANPC",'Monthly Activity Log'!I$4:I$200,"User Support")),IF($B$3="All",COUNTIFS('Monthly Activity Log'!H$4:H$200,"SANPC",'Monthly Activity Log'!I$4:I$200,"Admin/Config"),COUNTIFS('Monthly Activity Log'!B$4:B$200,$B$3,'Monthly Activity Log'!H$4:H$200,"SANPC",'Monthly Activity Log'!I$4:I$200,"Admin/Config")),IF($B$3="All",COUNTIFS('Monthly Activity Log'!H$4:H$200,"SANPC",'Monthly Activity Log'!I$4:I$200,"Reporting"),COUNTIFS('Monthly Activity Log'!B$4:B$200,$B$3,'Monthly Activity Log'!H$4:H$200,"SANPC",'Monthly Activity Log'!I$4:I$200,"Reporting")),IF($B$3="All",COUNTIFS('Monthly Activity Log'!H$4:H$200,"SANPC",'Monthly Activity Log'!I$4:I$200,"Mentoring"),COUNTIFS('Monthly Activity Log'!B$4:B$200,$B$3,'Monthly Activity Log'!H$4:H$200,"SANPC",'Monthly Activity Log'!I$4:I$200,"Mentoring")),IF($B$3="All",COUNTIFS('Monthly Activity Log'!H$4:H$200,"SANPC",'Monthly Activity Log'!I$4:I$200,"Other"),COUNTIFS('Monthly Activity Log'!B$4:B$200,$B$3,'Monthly Activity Log'!H$4:H$200,"SANPC",'Monthly Activity Log'!I$4:I$200,"Other"))),"Other","-")))))))))</f>
        <v/>
      </c>
      <c r="J5" s="96">
        <f>D5+E5</f>
        <v/>
      </c>
    </row>
    <row r="6" ht="19.5" customHeight="1" s="65">
      <c r="A6" s="98" t="inlineStr">
        <is>
          <t>PetroSA</t>
        </is>
      </c>
      <c r="B6" s="99">
        <f>IF($B$3="All",COUNTIF('Monthly Activity Log'!H$4:H$200,"PetroSA"),COUNTIFS('Monthly Activity Log'!B$4:B$200,$B$3,'Monthly Activity Log'!H$4:H$200,"PetroSA"))</f>
        <v/>
      </c>
      <c r="C6" s="99">
        <f>IF($B$3="All",COUNTIFS('Monthly Activity Log'!H$4:H$200,"PetroSA",'Monthly Activity Log'!K$4:K$200,"Completed"),COUNTIFS('Monthly Activity Log'!B$4:B$200,$B$3,'Monthly Activity Log'!H$4:H$200,"PetroSA",'Monthly Activity Log'!K$4:K$200,"Completed"))</f>
        <v/>
      </c>
      <c r="D6" s="99">
        <f>IF($B$3="All",COUNTIFS('Monthly Activity Log'!H$4:H$200,"PetroSA",'Monthly Activity Log'!K$4:K$200,"In Progress"),COUNTIFS('Monthly Activity Log'!B$4:B$200,$B$3,'Monthly Activity Log'!H$4:H$200,"PetroSA",'Monthly Activity Log'!K$4:K$200,"In Progress"))</f>
        <v/>
      </c>
      <c r="E6" s="99">
        <f>IF($B$3="All",COUNTIFS('Monthly Activity Log'!H$4:H$200,"PetroSA",'Monthly Activity Log'!K$4:K$200,"Pending"),COUNTIFS('Monthly Activity Log'!B$4:B$200,$B$3,'Monthly Activity Log'!H$4:H$200,"PetroSA",'Monthly Activity Log'!K$4:K$200,"Pending"))</f>
        <v/>
      </c>
      <c r="F6" s="100">
        <f>IFERROR(C6/B6,0)</f>
        <v/>
      </c>
      <c r="G6" s="100">
        <f>IFERROR(B6/'Summary Dashboard'!A7,0)</f>
        <v/>
      </c>
      <c r="H6" s="99">
        <f>IF(B6=0,"-",IF(IF($B$3="All",COUNTIFS('Monthly Activity Log'!H$4:H$200,"PetroSA",'Monthly Activity Log'!C$4:C$200,"Shennaz"),COUNTIFS('Monthly Activity Log'!B$4:B$200,$B$3,'Monthly Activity Log'!H$4:H$200,"PetroSA",'Monthly Activity Log'!C$4:C$200,"Shennaz"))=MAX(IF($B$3="All",COUNTIFS('Monthly Activity Log'!H$4:H$200,"PetroSA",'Monthly Activity Log'!C$4:C$200,"Shennaz"),COUNTIFS('Monthly Activity Log'!B$4:B$200,$B$3,'Monthly Activity Log'!H$4:H$200,"PetroSA",'Monthly Activity Log'!C$4:C$200,"Shennaz")),IF($B$3="All",COUNTIFS('Monthly Activity Log'!H$4:H$200,"PetroSA",'Monthly Activity Log'!C$4:C$200,"Nyameka"),COUNTIFS('Monthly Activity Log'!B$4:B$200,$B$3,'Monthly Activity Log'!H$4:H$200,"PetroSA",'Monthly Activity Log'!C$4:C$200,"Nyameka")),IF($B$3="All",COUNTIFS('Monthly Activity Log'!H$4:H$200,"PetroSA",'Monthly Activity Log'!C$4:C$200,"Lindiwe"),COUNTIFS('Monthly Activity Log'!B$4:B$200,$B$3,'Monthly Activity Log'!H$4:H$200,"PetroSA",'Monthly Activity Log'!C$4:C$200,"Lindiwe")),IF($B$3="All",COUNTIFS('Monthly Activity Log'!H$4:H$200,"PetroSA",'Monthly Activity Log'!C$4:C$200,"T A Willems"),COUNTIFS('Monthly Activity Log'!B$4:B$200,$B$3,'Monthly Activity Log'!H$4:H$200,"PetroSA",'Monthly Activity Log'!C$4:C$200,"T A Willems")),IF($B$3="All",COUNTIFS('Monthly Activity Log'!H$4:H$200,"PetroSA",'Monthly Activity Log'!C$4:C$200,"Mphatheleni Matidze"),COUNTIFS('Monthly Activity Log'!B$4:B$200,$B$3,'Monthly Activity Log'!H$4:H$200,"PetroSA",'Monthly Activity Log'!C$4:C$200,"Mphatheleni Matidze"))),"Shennaz",IF(IF($B$3="All",COUNTIFS('Monthly Activity Log'!H$4:H$200,"PetroSA",'Monthly Activity Log'!C$4:C$200,"Nyameka"),COUNTIFS('Monthly Activity Log'!B$4:B$200,$B$3,'Monthly Activity Log'!H$4:H$200,"PetroSA",'Monthly Activity Log'!C$4:C$200,"Nyameka"))=MAX(IF($B$3="All",COUNTIFS('Monthly Activity Log'!H$4:H$200,"PetroSA",'Monthly Activity Log'!C$4:C$200,"Shennaz"),COUNTIFS('Monthly Activity Log'!B$4:B$200,$B$3,'Monthly Activity Log'!H$4:H$200,"PetroSA",'Monthly Activity Log'!C$4:C$200,"Shennaz")),IF($B$3="All",COUNTIFS('Monthly Activity Log'!H$4:H$200,"PetroSA",'Monthly Activity Log'!C$4:C$200,"Nyameka"),COUNTIFS('Monthly Activity Log'!B$4:B$200,$B$3,'Monthly Activity Log'!H$4:H$200,"PetroSA",'Monthly Activity Log'!C$4:C$200,"Nyameka")),IF($B$3="All",COUNTIFS('Monthly Activity Log'!H$4:H$200,"PetroSA",'Monthly Activity Log'!C$4:C$200,"Lindiwe"),COUNTIFS('Monthly Activity Log'!B$4:B$200,$B$3,'Monthly Activity Log'!H$4:H$200,"PetroSA",'Monthly Activity Log'!C$4:C$200,"Lindiwe")),IF($B$3="All",COUNTIFS('Monthly Activity Log'!H$4:H$200,"PetroSA",'Monthly Activity Log'!C$4:C$200,"T A Willems"),COUNTIFS('Monthly Activity Log'!B$4:B$200,$B$3,'Monthly Activity Log'!H$4:H$200,"PetroSA",'Monthly Activity Log'!C$4:C$200,"T A Willems")),IF($B$3="All",COUNTIFS('Monthly Activity Log'!H$4:H$200,"PetroSA",'Monthly Activity Log'!C$4:C$200,"Mphatheleni Matidze"),COUNTIFS('Monthly Activity Log'!B$4:B$200,$B$3,'Monthly Activity Log'!H$4:H$200,"PetroSA",'Monthly Activity Log'!C$4:C$200,"Mphatheleni Matidze"))),"Nyameka",IF(IF($B$3="All",COUNTIFS('Monthly Activity Log'!H$4:H$200,"PetroSA",'Monthly Activity Log'!C$4:C$200,"Lindiwe"),COUNTIFS('Monthly Activity Log'!B$4:B$200,$B$3,'Monthly Activity Log'!H$4:H$200,"PetroSA",'Monthly Activity Log'!C$4:C$200,"Lindiwe"))=MAX(IF($B$3="All",COUNTIFS('Monthly Activity Log'!H$4:H$200,"PetroSA",'Monthly Activity Log'!C$4:C$200,"Shennaz"),COUNTIFS('Monthly Activity Log'!B$4:B$200,$B$3,'Monthly Activity Log'!H$4:H$200,"PetroSA",'Monthly Activity Log'!C$4:C$200,"Shennaz")),IF($B$3="All",COUNTIFS('Monthly Activity Log'!H$4:H$200,"PetroSA",'Monthly Activity Log'!C$4:C$200,"Nyameka"),COUNTIFS('Monthly Activity Log'!B$4:B$200,$B$3,'Monthly Activity Log'!H$4:H$200,"PetroSA",'Monthly Activity Log'!C$4:C$200,"Nyameka")),IF($B$3="All",COUNTIFS('Monthly Activity Log'!H$4:H$200,"PetroSA",'Monthly Activity Log'!C$4:C$200,"Lindiwe"),COUNTIFS('Monthly Activity Log'!B$4:B$200,$B$3,'Monthly Activity Log'!H$4:H$200,"PetroSA",'Monthly Activity Log'!C$4:C$200,"Lindiwe")),IF($B$3="All",COUNTIFS('Monthly Activity Log'!H$4:H$200,"PetroSA",'Monthly Activity Log'!C$4:C$200,"T A Willems"),COUNTIFS('Monthly Activity Log'!B$4:B$200,$B$3,'Monthly Activity Log'!H$4:H$200,"PetroSA",'Monthly Activity Log'!C$4:C$200,"T A Willems")),IF($B$3="All",COUNTIFS('Monthly Activity Log'!H$4:H$200,"PetroSA",'Monthly Activity Log'!C$4:C$200,"Mphatheleni Matidze"),COUNTIFS('Monthly Activity Log'!B$4:B$200,$B$3,'Monthly Activity Log'!H$4:H$200,"PetroSA",'Monthly Activity Log'!C$4:C$200,"Mphatheleni Matidze"))),"Lindiwe",IF(IF($B$3="All",COUNTIFS('Monthly Activity Log'!H$4:H$200,"PetroSA",'Monthly Activity Log'!C$4:C$200,"T A Willems"),COUNTIFS('Monthly Activity Log'!B$4:B$200,$B$3,'Monthly Activity Log'!H$4:H$200,"PetroSA",'Monthly Activity Log'!C$4:C$200,"T A Willems"))=MAX(IF($B$3="All",COUNTIFS('Monthly Activity Log'!H$4:H$200,"PetroSA",'Monthly Activity Log'!C$4:C$200,"Shennaz"),COUNTIFS('Monthly Activity Log'!B$4:B$200,$B$3,'Monthly Activity Log'!H$4:H$200,"PetroSA",'Monthly Activity Log'!C$4:C$200,"Shennaz")),IF($B$3="All",COUNTIFS('Monthly Activity Log'!H$4:H$200,"PetroSA",'Monthly Activity Log'!C$4:C$200,"Nyameka"),COUNTIFS('Monthly Activity Log'!B$4:B$200,$B$3,'Monthly Activity Log'!H$4:H$200,"PetroSA",'Monthly Activity Log'!C$4:C$200,"Nyameka")),IF($B$3="All",COUNTIFS('Monthly Activity Log'!H$4:H$200,"PetroSA",'Monthly Activity Log'!C$4:C$200,"Lindiwe"),COUNTIFS('Monthly Activity Log'!B$4:B$200,$B$3,'Monthly Activity Log'!H$4:H$200,"PetroSA",'Monthly Activity Log'!C$4:C$200,"Lindiwe")),IF($B$3="All",COUNTIFS('Monthly Activity Log'!H$4:H$200,"PetroSA",'Monthly Activity Log'!C$4:C$200,"T A Willems"),COUNTIFS('Monthly Activity Log'!B$4:B$200,$B$3,'Monthly Activity Log'!H$4:H$200,"PetroSA",'Monthly Activity Log'!C$4:C$200,"T A Willems")),IF($B$3="All",COUNTIFS('Monthly Activity Log'!H$4:H$200,"PetroSA",'Monthly Activity Log'!C$4:C$200,"Mphatheleni Matidze"),COUNTIFS('Monthly Activity Log'!B$4:B$200,$B$3,'Monthly Activity Log'!H$4:H$200,"PetroSA",'Monthly Activity Log'!C$4:C$200,"Mphatheleni Matidze"))),"T A Willems",IF(IF($B$3="All",COUNTIFS('Monthly Activity Log'!H$4:H$200,"PetroSA",'Monthly Activity Log'!C$4:C$200,"Mphatheleni Matidze"),COUNTIFS('Monthly Activity Log'!B$4:B$200,$B$3,'Monthly Activity Log'!H$4:H$200,"PetroSA",'Monthly Activity Log'!C$4:C$200,"Mphatheleni Matidze"))=MAX(IF($B$3="All",COUNTIFS('Monthly Activity Log'!H$4:H$200,"PetroSA",'Monthly Activity Log'!C$4:C$200,"Shennaz"),COUNTIFS('Monthly Activity Log'!B$4:B$200,$B$3,'Monthly Activity Log'!H$4:H$200,"PetroSA",'Monthly Activity Log'!C$4:C$200,"Shennaz")),IF($B$3="All",COUNTIFS('Monthly Activity Log'!H$4:H$200,"PetroSA",'Monthly Activity Log'!C$4:C$200,"Nyameka"),COUNTIFS('Monthly Activity Log'!B$4:B$200,$B$3,'Monthly Activity Log'!H$4:H$200,"PetroSA",'Monthly Activity Log'!C$4:C$200,"Nyameka")),IF($B$3="All",COUNTIFS('Monthly Activity Log'!H$4:H$200,"PetroSA",'Monthly Activity Log'!C$4:C$200,"Lindiwe"),COUNTIFS('Monthly Activity Log'!B$4:B$200,$B$3,'Monthly Activity Log'!H$4:H$200,"PetroSA",'Monthly Activity Log'!C$4:C$200,"Lindiwe")),IF($B$3="All",COUNTIFS('Monthly Activity Log'!H$4:H$200,"PetroSA",'Monthly Activity Log'!C$4:C$200,"T A Willems"),COUNTIFS('Monthly Activity Log'!B$4:B$200,$B$3,'Monthly Activity Log'!H$4:H$200,"PetroSA",'Monthly Activity Log'!C$4:C$200,"T A Willems")),IF($B$3="All",COUNTIFS('Monthly Activity Log'!H$4:H$200,"PetroSA",'Monthly Activity Log'!C$4:C$200,"Mphatheleni Matidze"),COUNTIFS('Monthly Activity Log'!B$4:B$200,$B$3,'Monthly Activity Log'!H$4:H$200,"PetroSA",'Monthly Activity Log'!C$4:C$200,"Mphatheleni Matidze"))),"Mphatheleni Matidze","-"))))))</f>
        <v/>
      </c>
      <c r="I6" s="99">
        <f>IF(B6=0,"-",IF(IF($B$3="All",COUNTIFS('Monthly Activity Log'!H$4:H$200,"PetroSA",'Monthly Activity Log'!I$4:I$200,"Project"),COUNTIFS('Monthly Activity Log'!B$4:B$200,$B$3,'Monthly Activity Log'!H$4:H$200,"PetroSA",'Monthly Activity Log'!I$4:I$200,"Project"))=MAX(IF($B$3="All",COUNTIFS('Monthly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Log'!I$4:I$200,"Other"))),"Project",IF(IF($B$3="All",COUNTIFS('Monthly Activity Log'!H$4:H$200,"PetroSA",'Monthly Activity Log'!I$4:I$200,"Incident/Bug Fix"),COUNTIFS('Monthly Activity Log'!B$4:B$200,$B$3,'Monthly Activity Log'!H$4:H$200,"PetroSA",'Monthly Activity Log'!I$4:I$200,"Incident/Bug Fix"))=MAX(IF($B$3="All",COUNTIFS('Monthly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Log'!I$4:I$200,"Other"))),"Incident/Bug Fix",IF(IF($B$3="All",COUNTIFS('Monthly Activity Log'!H$4:H$200,"PetroSA",'Monthly Activity Log'!I$4:I$200,"Change Request"),COUNTIFS('Monthly Activity Log'!B$4:B$200,$B$3,'Monthly Activity Log'!H$4:H$200,"PetroSA",'Monthly Activity Log'!I$4:I$200,"Change Request"))=MAX(IF($B$3="All",COUNTIFS('Monthly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Log'!I$4:I$200,"Other"))),"Change Request",IF(IF($B$3="All",COUNTIFS('Monthly Activity Log'!H$4:H$200,"PetroSA",'Monthly Activity Log'!I$4:I$200,"User Support"),COUNTIFS('Monthly Activity Log'!B$4:B$200,$B$3,'Monthly Activity Log'!H$4:H$200,"PetroSA",'Monthly Activity Log'!I$4:I$200,"User Support"))=MAX(IF($B$3="All",COUNTIFS('Monthly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Log'!I$4:I$200,"Other"))),"User Support",IF(IF($B$3="All",COUNTIFS('Monthly Activity Log'!H$4:H$200,"PetroSA",'Monthly Activity Log'!I$4:I$200,"Admin/Config"),COUNTIFS('Monthly Activity Log'!B$4:B$200,$B$3,'Monthly Activity Log'!H$4:H$200,"PetroSA",'Monthly Activity Log'!I$4:I$200,"Admin/Config"))=MAX(IF($B$3="All",COUNTIFS('Monthly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Log'!I$4:I$200,"Other"))),"Admin/Config",IF(IF($B$3="All",COUNTIFS('Monthly Activity Log'!H$4:H$200,"PetroSA",'Monthly Activity Log'!I$4:I$200,"Reporting"),COUNTIFS('Monthly Activity Log'!B$4:B$200,$B$3,'Monthly Activity Log'!H$4:H$200,"PetroSA",'Monthly Activity Log'!I$4:I$200,"Reporting"))=MAX(IF($B$3="All",COUNTIFS('Monthly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Log'!I$4:I$200,"Other"))),"Reporting",IF(IF($B$3="All",COUNTIFS('Monthly Activity Log'!H$4:H$200,"PetroSA",'Monthly Activity Log'!I$4:I$200,"Mentoring"),COUNTIFS('Monthly Activity Log'!B$4:B$200,$B$3,'Monthly Activity Log'!H$4:H$200,"PetroSA",'Monthly Activity Log'!I$4:I$200,"Mentoring"))=MAX(IF($B$3="All",COUNTIFS('Monthly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Log'!I$4:I$200,"Other"))),"Mentoring",IF(IF($B$3="All",COUNTIFS('Monthly Activity Log'!H$4:H$200,"PetroSA",'Monthly Activity Log'!I$4:I$200,"Other"),COUNTIFS('Monthly Activity Log'!B$4:B$200,$B$3,'Monthly Activity Log'!H$4:H$200,"PetroSA",'Monthly Activity Log'!I$4:I$200,"Other"))=MAX(IF($B$3="All",COUNTIFS('Monthly Activity Log'!H$4:H$200,"PetroSA",'Monthly Activity Log'!I$4:I$200,"Project"),COUNTIFS('Monthly Activity Log'!B$4:B$200,$B$3,'Monthly Activity Log'!H$4:H$200,"PetroSA",'Monthly Activity Log'!I$4:I$200,"Project")),IF($B$3="All",COUNTIFS('Monthly Activity Log'!H$4:H$200,"PetroSA",'Monthly Activity Log'!I$4:I$200,"Incident/Bug Fix"),COUNTIFS('Monthly Activity Log'!B$4:B$200,$B$3,'Monthly Activity Log'!H$4:H$200,"PetroSA",'Monthly Activity Log'!I$4:I$200,"Incident/Bug Fix")),IF($B$3="All",COUNTIFS('Monthly Activity Log'!H$4:H$200,"PetroSA",'Monthly Activity Log'!I$4:I$200,"Change Request"),COUNTIFS('Monthly Activity Log'!B$4:B$200,$B$3,'Monthly Activity Log'!H$4:H$200,"PetroSA",'Monthly Activity Log'!I$4:I$200,"Change Request")),IF($B$3="All",COUNTIFS('Monthly Activity Log'!H$4:H$200,"PetroSA",'Monthly Activity Log'!I$4:I$200,"User Support"),COUNTIFS('Monthly Activity Log'!B$4:B$200,$B$3,'Monthly Activity Log'!H$4:H$200,"PetroSA",'Monthly Activity Log'!I$4:I$200,"User Support")),IF($B$3="All",COUNTIFS('Monthly Activity Log'!H$4:H$200,"PetroSA",'Monthly Activity Log'!I$4:I$200,"Admin/Config"),COUNTIFS('Monthly Activity Log'!B$4:B$200,$B$3,'Monthly Activity Log'!H$4:H$200,"PetroSA",'Monthly Activity Log'!I$4:I$200,"Admin/Config")),IF($B$3="All",COUNTIFS('Monthly Activity Log'!H$4:H$200,"PetroSA",'Monthly Activity Log'!I$4:I$200,"Reporting"),COUNTIFS('Monthly Activity Log'!B$4:B$200,$B$3,'Monthly Activity Log'!H$4:H$200,"PetroSA",'Monthly Activity Log'!I$4:I$200,"Reporting")),IF($B$3="All",COUNTIFS('Monthly Activity Log'!H$4:H$200,"PetroSA",'Monthly Activity Log'!I$4:I$200,"Mentoring"),COUNTIFS('Monthly Activity Log'!B$4:B$200,$B$3,'Monthly Activity Log'!H$4:H$200,"PetroSA",'Monthly Activity Log'!I$4:I$200,"Mentoring")),IF($B$3="All",COUNTIFS('Monthly Activity Log'!H$4:H$200,"PetroSA",'Monthly Activity Log'!I$4:I$200,"Other"),COUNTIFS('Monthly Activity Log'!B$4:B$200,$B$3,'Monthly Activity Log'!H$4:H$200,"PetroSA",'Monthly Activity Log'!I$4:I$200,"Other"))),"Other","-")))))))))</f>
        <v/>
      </c>
      <c r="J6" s="99">
        <f>D6+E6</f>
        <v/>
      </c>
    </row>
    <row r="7" ht="19.5" customHeight="1" s="65">
      <c r="A7" s="95" t="inlineStr">
        <is>
          <t>PetroSA Ghana</t>
        </is>
      </c>
      <c r="B7" s="96">
        <f>IF($B$3="All",COUNTIF('Monthly Activity Log'!H$4:H$200,"PetroSA Ghana"),COUNTIFS('Monthly Activity Log'!B$4:B$200,$B$3,'Monthly Activity Log'!H$4:H$200,"PetroSA Ghana"))</f>
        <v/>
      </c>
      <c r="C7" s="96">
        <f>IF($B$3="All",COUNTIFS('Monthly Activity Log'!H$4:H$200,"PetroSA Ghana",'Monthly Activity Log'!K$4:K$200,"Completed"),COUNTIFS('Monthly Activity Log'!B$4:B$200,$B$3,'Monthly Activity Log'!H$4:H$200,"PetroSA Ghana",'Monthly Activity Log'!K$4:K$200,"Completed"))</f>
        <v/>
      </c>
      <c r="D7" s="96">
        <f>IF($B$3="All",COUNTIFS('Monthly Activity Log'!H$4:H$200,"PetroSA Ghana",'Monthly Activity Log'!K$4:K$200,"In Progress"),COUNTIFS('Monthly Activity Log'!B$4:B$200,$B$3,'Monthly Activity Log'!H$4:H$200,"PetroSA Ghana",'Monthly Activity Log'!K$4:K$200,"In Progress"))</f>
        <v/>
      </c>
      <c r="E7" s="96">
        <f>IF($B$3="All",COUNTIFS('Monthly Activity Log'!H$4:H$200,"PetroSA Ghana",'Monthly Activity Log'!K$4:K$200,"Pending"),COUNTIFS('Monthly Activity Log'!B$4:B$200,$B$3,'Monthly Activity Log'!H$4:H$200,"PetroSA Ghana",'Monthly Activity Log'!K$4:K$200,"Pending"))</f>
        <v/>
      </c>
      <c r="F7" s="97">
        <f>IFERROR(C7/B7,0)</f>
        <v/>
      </c>
      <c r="G7" s="97">
        <f>IFERROR(B7/'Summary Dashboard'!A7,0)</f>
        <v/>
      </c>
      <c r="H7" s="96">
        <f>IF(B7=0,"-",IF(IF($B$3="All",COUNTIFS('Monthly Activity Log'!H$4:H$200,"PetroSA Ghana",'Monthly Activity Log'!C$4:C$200,"Shennaz"),COUNTIFS('Monthly Activity Log'!B$4:B$200,$B$3,'Monthly Activity Log'!H$4:H$200,"PetroSA Ghana",'Monthly Activity Log'!C$4:C$200,"Shennaz"))=MAX(IF($B$3="All",COUNTIFS('Monthly Activity Log'!H$4:H$200,"PetroSA Ghana",'Monthly Activity Log'!C$4:C$200,"Shennaz"),COUNTIFS('Monthly Activity Log'!B$4:B$200,$B$3,'Monthly Activity Log'!H$4:H$200,"PetroSA Ghana",'Monthly Activity Log'!C$4:C$200,"Shennaz")),IF($B$3="All",COUNTIFS('Monthly Activity Log'!H$4:H$200,"PetroSA Ghana",'Monthly Activity Log'!C$4:C$200,"Nyameka"),COUNTIFS('Monthly Activity Log'!B$4:B$200,$B$3,'Monthly Activity Log'!H$4:H$200,"PetroSA Ghana",'Monthly Activity Log'!C$4:C$200,"Nyameka")),IF($B$3="All",COUNTIFS('Monthly Activity Log'!H$4:H$200,"PetroSA Ghana",'Monthly Activity Log'!C$4:C$200,"Lindiwe"),COUNTIFS('Monthly Activity Log'!B$4:B$200,$B$3,'Monthly Activity Log'!H$4:H$200,"PetroSA Ghana",'Monthly Activity Log'!C$4:C$200,"Lindiwe")),IF($B$3="All",COUNTIFS('Monthly Activity Log'!H$4:H$200,"PetroSA Ghana",'Monthly Activity Log'!C$4:C$200,"T A Willems"),COUNTIFS('Monthly Activity Log'!B$4:B$200,$B$3,'Monthly Activity Log'!H$4:H$200,"PetroSA Ghana",'Monthly Activity Log'!C$4:C$200,"T A Willems")),IF($B$3="All",COUNTIFS('Monthly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Matidze"))),"Shennaz",IF(IF($B$3="All",COUNTIFS('Monthly Activity Log'!H$4:H$200,"PetroSA Ghana",'Monthly Activity Log'!C$4:C$200,"Nyameka"),COUNTIFS('Monthly Activity Log'!B$4:B$200,$B$3,'Monthly Activity Log'!H$4:H$200,"PetroSA Ghana",'Monthly Activity Log'!C$4:C$200,"Nyameka"))=MAX(IF($B$3="All",COUNTIFS('Monthly Activity Log'!H$4:H$200,"PetroSA Ghana",'Monthly Activity Log'!C$4:C$200,"Shennaz"),COUNTIFS('Monthly Activity Log'!B$4:B$200,$B$3,'Monthly Activity Log'!H$4:H$200,"PetroSA Ghana",'Monthly Activity Log'!C$4:C$200,"Shennaz")),IF($B$3="All",COUNTIFS('Monthly Activity Log'!H$4:H$200,"PetroSA Ghana",'Monthly Activity Log'!C$4:C$200,"Nyameka"),COUNTIFS('Monthly Activity Log'!B$4:B$200,$B$3,'Monthly Activity Log'!H$4:H$200,"PetroSA Ghana",'Monthly Activity Log'!C$4:C$200,"Nyameka")),IF($B$3="All",COUNTIFS('Monthly Activity Log'!H$4:H$200,"PetroSA Ghana",'Monthly Activity Log'!C$4:C$200,"Lindiwe"),COUNTIFS('Monthly Activity Log'!B$4:B$200,$B$3,'Monthly Activity Log'!H$4:H$200,"PetroSA Ghana",'Monthly Activity Log'!C$4:C$200,"Lindiwe")),IF($B$3="All",COUNTIFS('Monthly Activity Log'!H$4:H$200,"PetroSA Ghana",'Monthly Activity Log'!C$4:C$200,"T A Willems"),COUNTIFS('Monthly Activity Log'!B$4:B$200,$B$3,'Monthly Activity Log'!H$4:H$200,"PetroSA Ghana",'Monthly Activity Log'!C$4:C$200,"T A Willems")),IF($B$3="All",COUNTIFS('Monthly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Matidze"))),"Nyameka",IF(IF($B$3="All",COUNTIFS('Monthly Activity Log'!H$4:H$200,"PetroSA Ghana",'Monthly Activity Log'!C$4:C$200,"Lindiwe"),COUNTIFS('Monthly Activity Log'!B$4:B$200,$B$3,'Monthly Activity Log'!H$4:H$200,"PetroSA Ghana",'Monthly Activity Log'!C$4:C$200,"Lindiwe"))=MAX(IF($B$3="All",COUNTIFS('Monthly Activity Log'!H$4:H$200,"PetroSA Ghana",'Monthly Activity Log'!C$4:C$200,"Shennaz"),COUNTIFS('Monthly Activity Log'!B$4:B$200,$B$3,'Monthly Activity Log'!H$4:H$200,"PetroSA Ghana",'Monthly Activity Log'!C$4:C$200,"Shennaz")),IF($B$3="All",COUNTIFS('Monthly Activity Log'!H$4:H$200,"PetroSA Ghana",'Monthly Activity Log'!C$4:C$200,"Nyameka"),COUNTIFS('Monthly Activity Log'!B$4:B$200,$B$3,'Monthly Activity Log'!H$4:H$200,"PetroSA Ghana",'Monthly Activity Log'!C$4:C$200,"Nyameka")),IF($B$3="All",COUNTIFS('Monthly Activity Log'!H$4:H$200,"PetroSA Ghana",'Monthly Activity Log'!C$4:C$200,"Lindiwe"),COUNTIFS('Monthly Activity Log'!B$4:B$200,$B$3,'Monthly Activity Log'!H$4:H$200,"PetroSA Ghana",'Monthly Activity Log'!C$4:C$200,"Lindiwe")),IF($B$3="All",COUNTIFS('Monthly Activity Log'!H$4:H$200,"PetroSA Ghana",'Monthly Activity Log'!C$4:C$200,"T A Willems"),COUNTIFS('Monthly Activity Log'!B$4:B$200,$B$3,'Monthly Activity Log'!H$4:H$200,"PetroSA Ghana",'Monthly Activity Log'!C$4:C$200,"T A Willems")),IF($B$3="All",COUNTIFS('Monthly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Matidze"))),"Lindiwe",IF(IF($B$3="All",COUNTIFS('Monthly Activity Log'!H$4:H$200,"PetroSA Ghana",'Monthly Activity Log'!C$4:C$200,"T A Willems"),COUNTIFS('Monthly Activity Log'!B$4:B$200,$B$3,'Monthly Activity Log'!H$4:H$200,"PetroSA Ghana",'Monthly Activity Log'!C$4:C$200,"T A Willems"))=MAX(IF($B$3="All",COUNTIFS('Monthly Activity Log'!H$4:H$200,"PetroSA Ghana",'Monthly Activity Log'!C$4:C$200,"Shennaz"),COUNTIFS('Monthly Activity Log'!B$4:B$200,$B$3,'Monthly Activity Log'!H$4:H$200,"PetroSA Ghana",'Monthly Activity Log'!C$4:C$200,"Shennaz")),IF($B$3="All",COUNTIFS('Monthly Activity Log'!H$4:H$200,"PetroSA Ghana",'Monthly Activity Log'!C$4:C$200,"Nyameka"),COUNTIFS('Monthly Activity Log'!B$4:B$200,$B$3,'Monthly Activity Log'!H$4:H$200,"PetroSA Ghana",'Monthly Activity Log'!C$4:C$200,"Nyameka")),IF($B$3="All",COUNTIFS('Monthly Activity Log'!H$4:H$200,"PetroSA Ghana",'Monthly Activity Log'!C$4:C$200,"Lindiwe"),COUNTIFS('Monthly Activity Log'!B$4:B$200,$B$3,'Monthly Activity Log'!H$4:H$200,"PetroSA Ghana",'Monthly Activity Log'!C$4:C$200,"Lindiwe")),IF($B$3="All",COUNTIFS('Monthly Activity Log'!H$4:H$200,"PetroSA Ghana",'Monthly Activity Log'!C$4:C$200,"T A Willems"),COUNTIFS('Monthly Activity Log'!B$4:B$200,$B$3,'Monthly Activity Log'!H$4:H$200,"PetroSA Ghana",'Monthly Activity Log'!C$4:C$200,"T A Willems")),IF($B$3="All",COUNTIFS('Monthly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Matidze"))),"T A Willems",IF(IF($B$3="All",COUNTIFS('Monthly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Matidze"))=MAX(IF($B$3="All",COUNTIFS('Monthly Activity Log'!H$4:H$200,"PetroSA Ghana",'Monthly Activity Log'!C$4:C$200,"Shennaz"),COUNTIFS('Monthly Activity Log'!B$4:B$200,$B$3,'Monthly Activity Log'!H$4:H$200,"PetroSA Ghana",'Monthly Activity Log'!C$4:C$200,"Shennaz")),IF($B$3="All",COUNTIFS('Monthly Activity Log'!H$4:H$200,"PetroSA Ghana",'Monthly Activity Log'!C$4:C$200,"Nyameka"),COUNTIFS('Monthly Activity Log'!B$4:B$200,$B$3,'Monthly Activity Log'!H$4:H$200,"PetroSA Ghana",'Monthly Activity Log'!C$4:C$200,"Nyameka")),IF($B$3="All",COUNTIFS('Monthly Activity Log'!H$4:H$200,"PetroSA Ghana",'Monthly Activity Log'!C$4:C$200,"Lindiwe"),COUNTIFS('Monthly Activity Log'!B$4:B$200,$B$3,'Monthly Activity Log'!H$4:H$200,"PetroSA Ghana",'Monthly Activity Log'!C$4:C$200,"Lindiwe")),IF($B$3="All",COUNTIFS('Monthly Activity Log'!H$4:H$200,"PetroSA Ghana",'Monthly Activity Log'!C$4:C$200,"T A Willems"),COUNTIFS('Monthly Activity Log'!B$4:B$200,$B$3,'Monthly Activity Log'!H$4:H$200,"PetroSA Ghana",'Monthly Activity Log'!C$4:C$200,"T A Willems")),IF($B$3="All",COUNTIFS('Monthly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Matidze"))),"Mphatheleni Matidze","-"))))))</f>
        <v/>
      </c>
      <c r="I7" s="96">
        <f>IF(B7=0,"-",IF(IF($B$3="All",COUNTIFS('Monthly Activity Log'!H$4:H$200,"PetroSA Ghana",'Monthly Activity Log'!I$4:I$200,"Project"),COUNTIFS('Monthly Activity Log'!B$4:B$200,$B$3,'Monthly Activity Log'!H$4:H$200,"PetroSA Ghana",'Monthly Activity Log'!I$4:I$200,"Project"))=MAX(IF($B$3="All",COUNTIFS('Monthly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Log'!I$4:I$200,"Other"))),"Project",IF(IF($B$3="All",COUNTIFS('Monthly Activity Log'!H$4:H$200,"PetroSA Ghana",'Monthly Activity Log'!I$4:I$200,"Incident/Bug Fix"),COUNTIFS('Monthly Activity Log'!B$4:B$200,$B$3,'Monthly Activity Log'!H$4:H$200,"PetroSA Ghana",'Monthly Activity Log'!I$4:I$200,"Incident/Bug Fix"))=MAX(IF($B$3="All",COUNTIFS('Monthly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Log'!I$4:I$200,"Other"))),"Incident/Bug Fix",IF(IF($B$3="All",COUNTIFS('Monthly Activity Log'!H$4:H$200,"PetroSA Ghana",'Monthly Activity Log'!I$4:I$200,"Change Request"),COUNTIFS('Monthly Activity Log'!B$4:B$200,$B$3,'Monthly Activity Log'!H$4:H$200,"PetroSA Ghana",'Monthly Activity Log'!I$4:I$200,"Change Request"))=MAX(IF($B$3="All",COUNTIFS('Monthly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Log'!I$4:I$200,"Other"))),"Change Request",IF(IF($B$3="All",COUNTIFS('Monthly Activity Log'!H$4:H$200,"PetroSA Ghana",'Monthly Activity Log'!I$4:I$200,"User Support"),COUNTIFS('Monthly Activity Log'!B$4:B$200,$B$3,'Monthly Activity Log'!H$4:H$200,"PetroSA Ghana",'Monthly Activity Log'!I$4:I$200,"User Support"))=MAX(IF($B$3="All",COUNTIFS('Monthly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Log'!I$4:I$200,"Other"))),"User Support",IF(IF($B$3="All",COUNTIFS('Monthly Activity Log'!H$4:H$200,"PetroSA Ghana",'Monthly Activity Log'!I$4:I$200,"Admin/Config"),COUNTIFS('Monthly Activity Log'!B$4:B$200,$B$3,'Monthly Activity Log'!H$4:H$200,"PetroSA Ghana",'Monthly Activity Log'!I$4:I$200,"Admin/Config"))=MAX(IF($B$3="All",COUNTIFS('Monthly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Log'!I$4:I$200,"Other"))),"Admin/Config",IF(IF($B$3="All",COUNTIFS('Monthly Activity Log'!H$4:H$200,"PetroSA Ghana",'Monthly Activity Log'!I$4:I$200,"Reporting"),COUNTIFS('Monthly Activity Log'!B$4:B$200,$B$3,'Monthly Activity Log'!H$4:H$200,"PetroSA Ghana",'Monthly Activity Log'!I$4:I$200,"Reporting"))=MAX(IF($B$3="All",COUNTIFS('Monthly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Log'!I$4:I$200,"Other"))),"Reporting",IF(IF($B$3="All",COUNTIFS('Monthly Activity Log'!H$4:H$200,"PetroSA Ghana",'Monthly Activity Log'!I$4:I$200,"Mentoring"),COUNTIFS('Monthly Activity Log'!B$4:B$200,$B$3,'Monthly Activity Log'!H$4:H$200,"PetroSA Ghana",'Monthly Activity Log'!I$4:I$200,"Mentoring"))=MAX(IF($B$3="All",COUNTIFS('Monthly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Log'!I$4:I$200,"Other"))),"Mentoring",IF(IF($B$3="All",COUNTIFS('Monthly Activity Log'!H$4:H$200,"PetroSA Ghana",'Monthly Activity Log'!I$4:I$200,"Other"),COUNTIFS('Monthly Activity Log'!B$4:B$200,$B$3,'Monthly Activity Log'!H$4:H$200,"PetroSA Ghana",'Monthly Activity Log'!I$4:I$200,"Other"))=MAX(IF($B$3="All",COUNTIFS('Monthly Activity Log'!H$4:H$200,"PetroSA Ghana",'Monthly Activity Log'!I$4:I$200,"Project"),COUNTIFS('Monthly Activity Log'!B$4:B$200,$B$3,'Monthly Activity Log'!H$4:H$200,"PetroSA Ghana",'Monthly Activity Log'!I$4:I$200,"Project")),IF($B$3="All",COUNTIFS('Monthly Activity Log'!H$4:H$200,"PetroSA Ghana",'Monthly Activity Log'!I$4:I$200,"Incident/Bug Fix"),COUNTIFS('Monthly Activity Log'!B$4:B$200,$B$3,'Monthly Activity Log'!H$4:H$200,"PetroSA Ghana",'Monthly Activity Log'!I$4:I$200,"Incident/Bug Fix")),IF($B$3="All",COUNTIFS('Monthly Activity Log'!H$4:H$200,"PetroSA Ghana",'Monthly Activity Log'!I$4:I$200,"Change Request"),COUNTIFS('Monthly Activity Log'!B$4:B$200,$B$3,'Monthly Activity Log'!H$4:H$200,"PetroSA Ghana",'Monthly Activity Log'!I$4:I$200,"Change Request")),IF($B$3="All",COUNTIFS('Monthly Activity Log'!H$4:H$200,"PetroSA Ghana",'Monthly Activity Log'!I$4:I$200,"User Support"),COUNTIFS('Monthly Activity Log'!B$4:B$200,$B$3,'Monthly Activity Log'!H$4:H$200,"PetroSA Ghana",'Monthly Activity Log'!I$4:I$200,"User Support")),IF($B$3="All",COUNTIFS('Monthly Activity Log'!H$4:H$200,"PetroSA Ghana",'Monthly Activity Log'!I$4:I$200,"Admin/Config"),COUNTIFS('Monthly Activity Log'!B$4:B$200,$B$3,'Monthly Activity Log'!H$4:H$200,"PetroSA Ghana",'Monthly Activity Log'!I$4:I$200,"Admin/Config")),IF($B$3="All",COUNTIFS('Monthly Activity Log'!H$4:H$200,"PetroSA Ghana",'Monthly Activity Log'!I$4:I$200,"Reporting"),COUNTIFS('Monthly Activity Log'!B$4:B$200,$B$3,'Monthly Activity Log'!H$4:H$200,"PetroSA Ghana",'Monthly Activity Log'!I$4:I$200,"Reporting")),IF($B$3="All",COUNTIFS('Monthly Activity Log'!H$4:H$200,"PetroSA Ghana",'Monthly Activity Log'!I$4:I$200,"Mentoring"),COUNTIFS('Monthly Activity Log'!B$4:B$200,$B$3,'Monthly Activity Log'!H$4:H$200,"PetroSA Ghana",'Monthly Activity Log'!I$4:I$200,"Mentoring")),IF($B$3="All",COUNTIFS('Monthly Activity Log'!H$4:H$200,"PetroSA Ghana",'Monthly Activity Log'!I$4:I$200,"Other"),COUNTIFS('Monthly Activity Log'!B$4:B$200,$B$3,'Monthly Activity Log'!H$4:H$200,"PetroSA Ghana",'Monthly Activity Log'!I$4:I$200,"Other"))),"Other","-")))))))))</f>
        <v/>
      </c>
      <c r="J7" s="96">
        <f>D7+E7</f>
        <v/>
      </c>
    </row>
    <row r="8" ht="19.5" customHeight="1" s="65">
      <c r="A8" s="98" t="inlineStr">
        <is>
          <t>Legacy/CEF</t>
        </is>
      </c>
      <c r="B8" s="99">
        <f>IF($B$3="All",COUNTIF('Monthly Activity Log'!H$4:H$200,"Legacy/CEF"),COUNTIFS('Monthly Activity Log'!B$4:B$200,$B$3,'Monthly Activity Log'!H$4:H$200,"Legacy/CEF"))</f>
        <v/>
      </c>
      <c r="C8" s="99">
        <f>IF($B$3="All",COUNTIFS('Monthly Activity Log'!H$4:H$200,"Legacy/CEF",'Monthly Activity Log'!K$4:K$200,"Completed"),COUNTIFS('Monthly Activity Log'!B$4:B$200,$B$3,'Monthly Activity Log'!H$4:H$200,"Legacy/CEF",'Monthly Activity Log'!K$4:K$200,"Completed"))</f>
        <v/>
      </c>
      <c r="D8" s="99">
        <f>IF($B$3="All",COUNTIFS('Monthly Activity Log'!H$4:H$200,"Legacy/CEF",'Monthly Activity Log'!K$4:K$200,"In Progress"),COUNTIFS('Monthly Activity Log'!B$4:B$200,$B$3,'Monthly Activity Log'!H$4:H$200,"Legacy/CEF",'Monthly Activity Log'!K$4:K$200,"In Progress"))</f>
        <v/>
      </c>
      <c r="E8" s="99">
        <f>IF($B$3="All",COUNTIFS('Monthly Activity Log'!H$4:H$200,"Legacy/CEF",'Monthly Activity Log'!K$4:K$200,"Pending"),COUNTIFS('Monthly Activity Log'!B$4:B$200,$B$3,'Monthly Activity Log'!H$4:H$200,"Legacy/CEF",'Monthly Activity Log'!K$4:K$200,"Pending"))</f>
        <v/>
      </c>
      <c r="F8" s="100">
        <f>IFERROR(C8/B8,0)</f>
        <v/>
      </c>
      <c r="G8" s="100">
        <f>IFERROR(B8/'Summary Dashboard'!A7,0)</f>
        <v/>
      </c>
      <c r="H8" s="99">
        <f>IF(B8=0,"-",IF(IF($B$3="All",COUNTIFS('Monthly Activity Log'!H$4:H$200,"Legacy/CEF",'Monthly Activity Log'!C$4:C$200,"Shennaz"),COUNTIFS('Monthly Activity Log'!B$4:B$200,$B$3,'Monthly Activity Log'!H$4:H$200,"Legacy/CEF",'Monthly Activity Log'!C$4:C$200,"Shennaz"))=MAX(IF($B$3="All",COUNTIFS('Monthly Activity Log'!H$4:H$200,"Legacy/CEF",'Monthly Activity Log'!C$4:C$200,"Shennaz"),COUNTIFS('Monthly Activity Log'!B$4:B$200,$B$3,'Monthly Activity Log'!H$4:H$200,"Legacy/CEF",'Monthly Activity Log'!C$4:C$200,"Shennaz")),IF($B$3="All",COUNTIFS('Monthly Activity Log'!H$4:H$200,"Legacy/CEF",'Monthly Activity Log'!C$4:C$200,"Nyameka"),COUNTIFS('Monthly Activity Log'!B$4:B$200,$B$3,'Monthly Activity Log'!H$4:H$200,"Legacy/CEF",'Monthly Activity Log'!C$4:C$200,"Nyameka")),IF($B$3="All",COUNTIFS('Monthly Activity Log'!H$4:H$200,"Legacy/CEF",'Monthly Activity Log'!C$4:C$200,"Lindiwe"),COUNTIFS('Monthly Activity Log'!B$4:B$200,$B$3,'Monthly Activity Log'!H$4:H$200,"Legacy/CEF",'Monthly Activity Log'!C$4:C$200,"Lindiwe")),IF($B$3="All",COUNTIFS('Monthly Activity Log'!H$4:H$200,"Legacy/CEF",'Monthly Activity Log'!C$4:C$200,"T A Willems"),COUNTIFS('Monthly Activity Log'!B$4:B$200,$B$3,'Monthly Activity Log'!H$4:H$200,"Legacy/CEF",'Monthly Activity Log'!C$4:C$200,"T A Willems")),IF($B$3="All",COUNTIFS('Monthly Activity Log'!H$4:H$200,"Legacy/CEF",'Monthly Activity Log'!C$4:C$200,"Mphatheleni Matidze"),COUNTIFS('Monthly Activity Log'!B$4:B$200,$B$3,'Monthly Activity Log'!H$4:H$200,"Legacy/CEF",'Monthly Activity Log'!C$4:C$200,"Mphatheleni Matidze"))),"Shennaz",IF(IF($B$3="All",COUNTIFS('Monthly Activity Log'!H$4:H$200,"Legacy/CEF",'Monthly Activity Log'!C$4:C$200,"Nyameka"),COUNTIFS('Monthly Activity Log'!B$4:B$200,$B$3,'Monthly Activity Log'!H$4:H$200,"Legacy/CEF",'Monthly Activity Log'!C$4:C$200,"Nyameka"))=MAX(IF($B$3="All",COUNTIFS('Monthly Activity Log'!H$4:H$200,"Legacy/CEF",'Monthly Activity Log'!C$4:C$200,"Shennaz"),COUNTIFS('Monthly Activity Log'!B$4:B$200,$B$3,'Monthly Activity Log'!H$4:H$200,"Legacy/CEF",'Monthly Activity Log'!C$4:C$200,"Shennaz")),IF($B$3="All",COUNTIFS('Monthly Activity Log'!H$4:H$200,"Legacy/CEF",'Monthly Activity Log'!C$4:C$200,"Nyameka"),COUNTIFS('Monthly Activity Log'!B$4:B$200,$B$3,'Monthly Activity Log'!H$4:H$200,"Legacy/CEF",'Monthly Activity Log'!C$4:C$200,"Nyameka")),IF($B$3="All",COUNTIFS('Monthly Activity Log'!H$4:H$200,"Legacy/CEF",'Monthly Activity Log'!C$4:C$200,"Lindiwe"),COUNTIFS('Monthly Activity Log'!B$4:B$200,$B$3,'Monthly Activity Log'!H$4:H$200,"Legacy/CEF",'Monthly Activity Log'!C$4:C$200,"Lindiwe")),IF($B$3="All",COUNTIFS('Monthly Activity Log'!H$4:H$200,"Legacy/CEF",'Monthly Activity Log'!C$4:C$200,"T A Willems"),COUNTIFS('Monthly Activity Log'!B$4:B$200,$B$3,'Monthly Activity Log'!H$4:H$200,"Legacy/CEF",'Monthly Activity Log'!C$4:C$200,"T A Willems")),IF($B$3="All",COUNTIFS('Monthly Activity Log'!H$4:H$200,"Legacy/CEF",'Monthly Activity Log'!C$4:C$200,"Mphatheleni Matidze"),COUNTIFS('Monthly Activity Log'!B$4:B$200,$B$3,'Monthly Activity Log'!H$4:H$200,"Legacy/CEF",'Monthly Activity Log'!C$4:C$200,"Mphatheleni Matidze"))),"Nyameka",IF(IF($B$3="All",COUNTIFS('Monthly Activity Log'!H$4:H$200,"Legacy/CEF",'Monthly Activity Log'!C$4:C$200,"Lindiwe"),COUNTIFS('Monthly Activity Log'!B$4:B$200,$B$3,'Monthly Activity Log'!H$4:H$200,"Legacy/CEF",'Monthly Activity Log'!C$4:C$200,"Lindiwe"))=MAX(IF($B$3="All",COUNTIFS('Monthly Activity Log'!H$4:H$200,"Legacy/CEF",'Monthly Activity Log'!C$4:C$200,"Shennaz"),COUNTIFS('Monthly Activity Log'!B$4:B$200,$B$3,'Monthly Activity Log'!H$4:H$200,"Legacy/CEF",'Monthly Activity Log'!C$4:C$200,"Shennaz")),IF($B$3="All",COUNTIFS('Monthly Activity Log'!H$4:H$200,"Legacy/CEF",'Monthly Activity Log'!C$4:C$200,"Nyameka"),COUNTIFS('Monthly Activity Log'!B$4:B$200,$B$3,'Monthly Activity Log'!H$4:H$200,"Legacy/CEF",'Monthly Activity Log'!C$4:C$200,"Nyameka")),IF($B$3="All",COUNTIFS('Monthly Activity Log'!H$4:H$200,"Legacy/CEF",'Monthly Activity Log'!C$4:C$200,"Lindiwe"),COUNTIFS('Monthly Activity Log'!B$4:B$200,$B$3,'Monthly Activity Log'!H$4:H$200,"Legacy/CEF",'Monthly Activity Log'!C$4:C$200,"Lindiwe")),IF($B$3="All",COUNTIFS('Monthly Activity Log'!H$4:H$200,"Legacy/CEF",'Monthly Activity Log'!C$4:C$200,"T A Willems"),COUNTIFS('Monthly Activity Log'!B$4:B$200,$B$3,'Monthly Activity Log'!H$4:H$200,"Legacy/CEF",'Monthly Activity Log'!C$4:C$200,"T A Willems")),IF($B$3="All",COUNTIFS('Monthly Activity Log'!H$4:H$200,"Legacy/CEF",'Monthly Activity Log'!C$4:C$200,"Mphatheleni Matidze"),COUNTIFS('Monthly Activity Log'!B$4:B$200,$B$3,'Monthly Activity Log'!H$4:H$200,"Legacy/CEF",'Monthly Activity Log'!C$4:C$200,"Mphatheleni Matidze"))),"Lindiwe",IF(IF($B$3="All",COUNTIFS('Monthly Activity Log'!H$4:H$200,"Legacy/CEF",'Monthly Activity Log'!C$4:C$200,"T A Willems"),COUNTIFS('Monthly Activity Log'!B$4:B$200,$B$3,'Monthly Activity Log'!H$4:H$200,"Legacy/CEF",'Monthly Activity Log'!C$4:C$200,"T A Willems"))=MAX(IF($B$3="All",COUNTIFS('Monthly Activity Log'!H$4:H$200,"Legacy/CEF",'Monthly Activity Log'!C$4:C$200,"Shennaz"),COUNTIFS('Monthly Activity Log'!B$4:B$200,$B$3,'Monthly Activity Log'!H$4:H$200,"Legacy/CEF",'Monthly Activity Log'!C$4:C$200,"Shennaz")),IF($B$3="All",COUNTIFS('Monthly Activity Log'!H$4:H$200,"Legacy/CEF",'Monthly Activity Log'!C$4:C$200,"Nyameka"),COUNTIFS('Monthly Activity Log'!B$4:B$200,$B$3,'Monthly Activity Log'!H$4:H$200,"Legacy/CEF",'Monthly Activity Log'!C$4:C$200,"Nyameka")),IF($B$3="All",COUNTIFS('Monthly Activity Log'!H$4:H$200,"Legacy/CEF",'Monthly Activity Log'!C$4:C$200,"Lindiwe"),COUNTIFS('Monthly Activity Log'!B$4:B$200,$B$3,'Monthly Activity Log'!H$4:H$200,"Legacy/CEF",'Monthly Activity Log'!C$4:C$200,"Lindiwe")),IF($B$3="All",COUNTIFS('Monthly Activity Log'!H$4:H$200,"Legacy/CEF",'Monthly Activity Log'!C$4:C$200,"T A Willems"),COUNTIFS('Monthly Activity Log'!B$4:B$200,$B$3,'Monthly Activity Log'!H$4:H$200,"Legacy/CEF",'Monthly Activity Log'!C$4:C$200,"T A Willems")),IF($B$3="All",COUNTIFS('Monthly Activity Log'!H$4:H$200,"Legacy/CEF",'Monthly Activity Log'!C$4:C$200,"Mphatheleni Matidze"),COUNTIFS('Monthly Activity Log'!B$4:B$200,$B$3,'Monthly Activity Log'!H$4:H$200,"Legacy/CEF",'Monthly Activity Log'!C$4:C$200,"Mphatheleni Matidze"))),"T A Willems",IF(IF($B$3="All",COUNTIFS('Monthly Activity Log'!H$4:H$200,"Legacy/CEF",'Monthly Activity Log'!C$4:C$200,"Mphatheleni Matidze"),COUNTIFS('Monthly Activity Log'!B$4:B$200,$B$3,'Monthly Activity Log'!H$4:H$200,"Legacy/CEF",'Monthly Activity Log'!C$4:C$200,"Mphatheleni Matidze"))=MAX(IF($B$3="All",COUNTIFS('Monthly Activity Log'!H$4:H$200,"Legacy/CEF",'Monthly Activity Log'!C$4:C$200,"Shennaz"),COUNTIFS('Monthly Activity Log'!B$4:B$200,$B$3,'Monthly Activity Log'!H$4:H$200,"Legacy/CEF",'Monthly Activity Log'!C$4:C$200,"Shennaz")),IF($B$3="All",COUNTIFS('Monthly Activity Log'!H$4:H$200,"Legacy/CEF",'Monthly Activity Log'!C$4:C$200,"Nyameka"),COUNTIFS('Monthly Activity Log'!B$4:B$200,$B$3,'Monthly Activity Log'!H$4:H$200,"Legacy/CEF",'Monthly Activity Log'!C$4:C$200,"Nyameka")),IF($B$3="All",COUNTIFS('Monthly Activity Log'!H$4:H$200,"Legacy/CEF",'Monthly Activity Log'!C$4:C$200,"Lindiwe"),COUNTIFS('Monthly Activity Log'!B$4:B$200,$B$3,'Monthly Activity Log'!H$4:H$200,"Legacy/CEF",'Monthly Activity Log'!C$4:C$200,"Lindiwe")),IF($B$3="All",COUNTIFS('Monthly Activity Log'!H$4:H$200,"Legacy/CEF",'Monthly Activity Log'!C$4:C$200,"T A Willems"),COUNTIFS('Monthly Activity Log'!B$4:B$200,$B$3,'Monthly Activity Log'!H$4:H$200,"Legacy/CEF",'Monthly Activity Log'!C$4:C$200,"T A Willems")),IF($B$3="All",COUNTIFS('Monthly Activity Log'!H$4:H$200,"Legacy/CEF",'Monthly Activity Log'!C$4:C$200,"Mphatheleni Matidze"),COUNTIFS('Monthly Activity Log'!B$4:B$200,$B$3,'Monthly Activity Log'!H$4:H$200,"Legacy/CEF",'Monthly Activity Log'!C$4:C$200,"Mphatheleni Matidze"))),"Mphatheleni Matidze","-"))))))</f>
        <v/>
      </c>
      <c r="I8" s="99">
        <f>IF(B8=0,"-",IF(IF($B$3="All",COUNTIFS('Monthly Activity Log'!H$4:H$200,"Legacy/CEF",'Monthly Activity Log'!I$4:I$200,"Project"),COUNTIFS('Monthly Activity Log'!B$4:B$200,$B$3,'Monthly Activity Log'!H$4:H$200,"Legacy/CEF",'Monthly Activity Log'!I$4:I$200,"Project"))=MAX(IF($B$3="All",COUNTIFS('Monthly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Log'!I$4:I$200,"Other"))),"Project",IF(IF($B$3="All",COUNTIFS('Monthly Activity Log'!H$4:H$200,"Legacy/CEF",'Monthly Activity Log'!I$4:I$200,"Incident/Bug Fix"),COUNTIFS('Monthly Activity Log'!B$4:B$200,$B$3,'Monthly Activity Log'!H$4:H$200,"Legacy/CEF",'Monthly Activity Log'!I$4:I$200,"Incident/Bug Fix"))=MAX(IF($B$3="All",COUNTIFS('Monthly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Log'!I$4:I$200,"Other"))),"Incident/Bug Fix",IF(IF($B$3="All",COUNTIFS('Monthly Activity Log'!H$4:H$200,"Legacy/CEF",'Monthly Activity Log'!I$4:I$200,"Change Request"),COUNTIFS('Monthly Activity Log'!B$4:B$200,$B$3,'Monthly Activity Log'!H$4:H$200,"Legacy/CEF",'Monthly Activity Log'!I$4:I$200,"Change Request"))=MAX(IF($B$3="All",COUNTIFS('Monthly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Log'!I$4:I$200,"Other"))),"Change Request",IF(IF($B$3="All",COUNTIFS('Monthly Activity Log'!H$4:H$200,"Legacy/CEF",'Monthly Activity Log'!I$4:I$200,"User Support"),COUNTIFS('Monthly Activity Log'!B$4:B$200,$B$3,'Monthly Activity Log'!H$4:H$200,"Legacy/CEF",'Monthly Activity Log'!I$4:I$200,"User Support"))=MAX(IF($B$3="All",COUNTIFS('Monthly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Log'!I$4:I$200,"Other"))),"User Support",IF(IF($B$3="All",COUNTIFS('Monthly Activity Log'!H$4:H$200,"Legacy/CEF",'Monthly Activity Log'!I$4:I$200,"Admin/Config"),COUNTIFS('Monthly Activity Log'!B$4:B$200,$B$3,'Monthly Activity Log'!H$4:H$200,"Legacy/CEF",'Monthly Activity Log'!I$4:I$200,"Admin/Config"))=MAX(IF($B$3="All",COUNTIFS('Monthly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Log'!I$4:I$200,"Other"))),"Admin/Config",IF(IF($B$3="All",COUNTIFS('Monthly Activity Log'!H$4:H$200,"Legacy/CEF",'Monthly Activity Log'!I$4:I$200,"Reporting"),COUNTIFS('Monthly Activity Log'!B$4:B$200,$B$3,'Monthly Activity Log'!H$4:H$200,"Legacy/CEF",'Monthly Activity Log'!I$4:I$200,"Reporting"))=MAX(IF($B$3="All",COUNTIFS('Monthly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Log'!I$4:I$200,"Other"))),"Reporting",IF(IF($B$3="All",COUNTIFS('Monthly Activity Log'!H$4:H$200,"Legacy/CEF",'Monthly Activity Log'!I$4:I$200,"Mentoring"),COUNTIFS('Monthly Activity Log'!B$4:B$200,$B$3,'Monthly Activity Log'!H$4:H$200,"Legacy/CEF",'Monthly Activity Log'!I$4:I$200,"Mentoring"))=MAX(IF($B$3="All",COUNTIFS('Monthly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Log'!I$4:I$200,"Other"))),"Mentoring",IF(IF($B$3="All",COUNTIFS('Monthly Activity Log'!H$4:H$200,"Legacy/CEF",'Monthly Activity Log'!I$4:I$200,"Other"),COUNTIFS('Monthly Activity Log'!B$4:B$200,$B$3,'Monthly Activity Log'!H$4:H$200,"Legacy/CEF",'Monthly Activity Log'!I$4:I$200,"Other"))=MAX(IF($B$3="All",COUNTIFS('Monthly Activity Log'!H$4:H$200,"Legacy/CEF",'Monthly Activity Log'!I$4:I$200,"Project"),COUNTIFS('Monthly Activity Log'!B$4:B$200,$B$3,'Monthly Activity Log'!H$4:H$200,"Legacy/CEF",'Monthly Activity Log'!I$4:I$200,"Project")),IF($B$3="All",COUNTIFS('Monthly Activity Log'!H$4:H$200,"Legacy/CEF",'Monthly Activity Log'!I$4:I$200,"Incident/Bug Fix"),COUNTIFS('Monthly Activity Log'!B$4:B$200,$B$3,'Monthly Activity Log'!H$4:H$200,"Legacy/CEF",'Monthly Activity Log'!I$4:I$200,"Incident/Bug Fix")),IF($B$3="All",COUNTIFS('Monthly Activity Log'!H$4:H$200,"Legacy/CEF",'Monthly Activity Log'!I$4:I$200,"Change Request"),COUNTIFS('Monthly Activity Log'!B$4:B$200,$B$3,'Monthly Activity Log'!H$4:H$200,"Legacy/CEF",'Monthly Activity Log'!I$4:I$200,"Change Request")),IF($B$3="All",COUNTIFS('Monthly Activity Log'!H$4:H$200,"Legacy/CEF",'Monthly Activity Log'!I$4:I$200,"User Support"),COUNTIFS('Monthly Activity Log'!B$4:B$200,$B$3,'Monthly Activity Log'!H$4:H$200,"Legacy/CEF",'Monthly Activity Log'!I$4:I$200,"User Support")),IF($B$3="All",COUNTIFS('Monthly Activity Log'!H$4:H$200,"Legacy/CEF",'Monthly Activity Log'!I$4:I$200,"Admin/Config"),COUNTIFS('Monthly Activity Log'!B$4:B$200,$B$3,'Monthly Activity Log'!H$4:H$200,"Legacy/CEF",'Monthly Activity Log'!I$4:I$200,"Admin/Config")),IF($B$3="All",COUNTIFS('Monthly Activity Log'!H$4:H$200,"Legacy/CEF",'Monthly Activity Log'!I$4:I$200,"Reporting"),COUNTIFS('Monthly Activity Log'!B$4:B$200,$B$3,'Monthly Activity Log'!H$4:H$200,"Legacy/CEF",'Monthly Activity Log'!I$4:I$200,"Reporting")),IF($B$3="All",COUNTIFS('Monthly Activity Log'!H$4:H$200,"Legacy/CEF",'Monthly Activity Log'!I$4:I$200,"Mentoring"),COUNTIFS('Monthly Activity Log'!B$4:B$200,$B$3,'Monthly Activity Log'!H$4:H$200,"Legacy/CEF",'Monthly Activity Log'!I$4:I$200,"Mentoring")),IF($B$3="All",COUNTIFS('Monthly Activity Log'!H$4:H$200,"Legacy/CEF",'Monthly Activity Log'!I$4:I$200,"Other"),COUNTIFS('Monthly Activity Log'!B$4:B$200,$B$3,'Monthly Activity Log'!H$4:H$200,"Legacy/CEF",'Monthly Activity Log'!I$4:I$200,"Other"))),"Other","-")))))))))</f>
        <v/>
      </c>
      <c r="J8" s="99">
        <f>D8+E8</f>
        <v/>
      </c>
    </row>
    <row r="9" ht="19.5" customHeight="1" s="65">
      <c r="A9" s="95" t="inlineStr">
        <is>
          <t>SANPC/SFF</t>
        </is>
      </c>
      <c r="B9" s="96">
        <f>IF($B$3="All",COUNTIF('Monthly Activity Log'!H$4:H$200,"SANPC/SFF"),COUNTIFS('Monthly Activity Log'!B$4:B$200,$B$3,'Monthly Activity Log'!H$4:H$200,"SANPC/SFF"))</f>
        <v/>
      </c>
      <c r="C9" s="96">
        <f>IF($B$3="All",COUNTIFS('Monthly Activity Log'!H$4:H$200,"SANPC/SFF",'Monthly Activity Log'!K$4:K$200,"Completed"),COUNTIFS('Monthly Activity Log'!B$4:B$200,$B$3,'Monthly Activity Log'!H$4:H$200,"SANPC/SFF",'Monthly Activity Log'!K$4:K$200,"Completed"))</f>
        <v/>
      </c>
      <c r="D9" s="96">
        <f>IF($B$3="All",COUNTIFS('Monthly Activity Log'!H$4:H$200,"SANPC/SFF",'Monthly Activity Log'!K$4:K$200,"In Progress"),COUNTIFS('Monthly Activity Log'!B$4:B$200,$B$3,'Monthly Activity Log'!H$4:H$200,"SANPC/SFF",'Monthly Activity Log'!K$4:K$200,"In Progress"))</f>
        <v/>
      </c>
      <c r="E9" s="96">
        <f>IF($B$3="All",COUNTIFS('Monthly Activity Log'!H$4:H$200,"SANPC/SFF",'Monthly Activity Log'!K$4:K$200,"Pending"),COUNTIFS('Monthly Activity Log'!B$4:B$200,$B$3,'Monthly Activity Log'!H$4:H$200,"SANPC/SFF",'Monthly Activity Log'!K$4:K$200,"Pending"))</f>
        <v/>
      </c>
      <c r="F9" s="97">
        <f>IFERROR(C9/B9,0)</f>
        <v/>
      </c>
      <c r="G9" s="97">
        <f>IFERROR(B9/'Summary Dashboard'!A7,0)</f>
        <v/>
      </c>
      <c r="H9" s="96">
        <f>IF(B9=0,"-",IF(IF($B$3="All",COUNTIFS('Monthly Activity Log'!H$4:H$200,"SANPC/SFF",'Monthly Activity Log'!C$4:C$200,"Shennaz"),COUNTIFS('Monthly Activity Log'!B$4:B$200,$B$3,'Monthly Activity Log'!H$4:H$200,"SANPC/SFF",'Monthly Activity Log'!C$4:C$200,"Shennaz"))=MAX(IF($B$3="All",COUNTIFS('Monthly Activity Log'!H$4:H$200,"SANPC/SFF",'Monthly Activity Log'!C$4:C$200,"Shennaz"),COUNTIFS('Monthly Activity Log'!B$4:B$200,$B$3,'Monthly Activity Log'!H$4:H$200,"SANPC/SFF",'Monthly Activity Log'!C$4:C$200,"Shennaz")),IF($B$3="All",COUNTIFS('Monthly Activity Log'!H$4:H$200,"SANPC/SFF",'Monthly Activity Log'!C$4:C$200,"Nyameka"),COUNTIFS('Monthly Activity Log'!B$4:B$200,$B$3,'Monthly Activity Log'!H$4:H$200,"SANPC/SFF",'Monthly Activity Log'!C$4:C$200,"Nyameka")),IF($B$3="All",COUNTIFS('Monthly Activity Log'!H$4:H$200,"SANPC/SFF",'Monthly Activity Log'!C$4:C$200,"Lindiwe"),COUNTIFS('Monthly Activity Log'!B$4:B$200,$B$3,'Monthly Activity Log'!H$4:H$200,"SANPC/SFF",'Monthly Activity Log'!C$4:C$200,"Lindiwe")),IF($B$3="All",COUNTIFS('Monthly Activity Log'!H$4:H$200,"SANPC/SFF",'Monthly Activity Log'!C$4:C$200,"T A Willems"),COUNTIFS('Monthly Activity Log'!B$4:B$200,$B$3,'Monthly Activity Log'!H$4:H$200,"SANPC/SFF",'Monthly Activity Log'!C$4:C$200,"T A Willems")),IF($B$3="All",COUNTIFS('Monthly Activity Log'!H$4:H$200,"SANPC/SFF",'Monthly Activity Log'!C$4:C$200,"Mphatheleni Matidze"),COUNTIFS('Monthly Activity Log'!B$4:B$200,$B$3,'Monthly Activity Log'!H$4:H$200,"SANPC/SFF",'Monthly Activity Log'!C$4:C$200,"Mphatheleni Matidze"))),"Shennaz",IF(IF($B$3="All",COUNTIFS('Monthly Activity Log'!H$4:H$200,"SANPC/SFF",'Monthly Activity Log'!C$4:C$200,"Nyameka"),COUNTIFS('Monthly Activity Log'!B$4:B$200,$B$3,'Monthly Activity Log'!H$4:H$200,"SANPC/SFF",'Monthly Activity Log'!C$4:C$200,"Nyameka"))=MAX(IF($B$3="All",COUNTIFS('Monthly Activity Log'!H$4:H$200,"SANPC/SFF",'Monthly Activity Log'!C$4:C$200,"Shennaz"),COUNTIFS('Monthly Activity Log'!B$4:B$200,$B$3,'Monthly Activity Log'!H$4:H$200,"SANPC/SFF",'Monthly Activity Log'!C$4:C$200,"Shennaz")),IF($B$3="All",COUNTIFS('Monthly Activity Log'!H$4:H$200,"SANPC/SFF",'Monthly Activity Log'!C$4:C$200,"Nyameka"),COUNTIFS('Monthly Activity Log'!B$4:B$200,$B$3,'Monthly Activity Log'!H$4:H$200,"SANPC/SFF",'Monthly Activity Log'!C$4:C$200,"Nyameka")),IF($B$3="All",COUNTIFS('Monthly Activity Log'!H$4:H$200,"SANPC/SFF",'Monthly Activity Log'!C$4:C$200,"Lindiwe"),COUNTIFS('Monthly Activity Log'!B$4:B$200,$B$3,'Monthly Activity Log'!H$4:H$200,"SANPC/SFF",'Monthly Activity Log'!C$4:C$200,"Lindiwe")),IF($B$3="All",COUNTIFS('Monthly Activity Log'!H$4:H$200,"SANPC/SFF",'Monthly Activity Log'!C$4:C$200,"T A Willems"),COUNTIFS('Monthly Activity Log'!B$4:B$200,$B$3,'Monthly Activity Log'!H$4:H$200,"SANPC/SFF",'Monthly Activity Log'!C$4:C$200,"T A Willems")),IF($B$3="All",COUNTIFS('Monthly Activity Log'!H$4:H$200,"SANPC/SFF",'Monthly Activity Log'!C$4:C$200,"Mphatheleni Matidze"),COUNTIFS('Monthly Activity Log'!B$4:B$200,$B$3,'Monthly Activity Log'!H$4:H$200,"SANPC/SFF",'Monthly Activity Log'!C$4:C$200,"Mphatheleni Matidze"))),"Nyameka",IF(IF($B$3="All",COUNTIFS('Monthly Activity Log'!H$4:H$200,"SANPC/SFF",'Monthly Activity Log'!C$4:C$200,"Lindiwe"),COUNTIFS('Monthly Activity Log'!B$4:B$200,$B$3,'Monthly Activity Log'!H$4:H$200,"SANPC/SFF",'Monthly Activity Log'!C$4:C$200,"Lindiwe"))=MAX(IF($B$3="All",COUNTIFS('Monthly Activity Log'!H$4:H$200,"SANPC/SFF",'Monthly Activity Log'!C$4:C$200,"Shennaz"),COUNTIFS('Monthly Activity Log'!B$4:B$200,$B$3,'Monthly Activity Log'!H$4:H$200,"SANPC/SFF",'Monthly Activity Log'!C$4:C$200,"Shennaz")),IF($B$3="All",COUNTIFS('Monthly Activity Log'!H$4:H$200,"SANPC/SFF",'Monthly Activity Log'!C$4:C$200,"Nyameka"),COUNTIFS('Monthly Activity Log'!B$4:B$200,$B$3,'Monthly Activity Log'!H$4:H$200,"SANPC/SFF",'Monthly Activity Log'!C$4:C$200,"Nyameka")),IF($B$3="All",COUNTIFS('Monthly Activity Log'!H$4:H$200,"SANPC/SFF",'Monthly Activity Log'!C$4:C$200,"Lindiwe"),COUNTIFS('Monthly Activity Log'!B$4:B$200,$B$3,'Monthly Activity Log'!H$4:H$200,"SANPC/SFF",'Monthly Activity Log'!C$4:C$200,"Lindiwe")),IF($B$3="All",COUNTIFS('Monthly Activity Log'!H$4:H$200,"SANPC/SFF",'Monthly Activity Log'!C$4:C$200,"T A Willems"),COUNTIFS('Monthly Activity Log'!B$4:B$200,$B$3,'Monthly Activity Log'!H$4:H$200,"SANPC/SFF",'Monthly Activity Log'!C$4:C$200,"T A Willems")),IF($B$3="All",COUNTIFS('Monthly Activity Log'!H$4:H$200,"SANPC/SFF",'Monthly Activity Log'!C$4:C$200,"Mphatheleni Matidze"),COUNTIFS('Monthly Activity Log'!B$4:B$200,$B$3,'Monthly Activity Log'!H$4:H$200,"SANPC/SFF",'Monthly Activity Log'!C$4:C$200,"Mphatheleni Matidze"))),"Lindiwe",IF(IF($B$3="All",COUNTIFS('Monthly Activity Log'!H$4:H$200,"SANPC/SFF",'Monthly Activity Log'!C$4:C$200,"T A Willems"),COUNTIFS('Monthly Activity Log'!B$4:B$200,$B$3,'Monthly Activity Log'!H$4:H$200,"SANPC/SFF",'Monthly Activity Log'!C$4:C$200,"T A Willems"))=MAX(IF($B$3="All",COUNTIFS('Monthly Activity Log'!H$4:H$200,"SANPC/SFF",'Monthly Activity Log'!C$4:C$200,"Shennaz"),COUNTIFS('Monthly Activity Log'!B$4:B$200,$B$3,'Monthly Activity Log'!H$4:H$200,"SANPC/SFF",'Monthly Activity Log'!C$4:C$200,"Shennaz")),IF($B$3="All",COUNTIFS('Monthly Activity Log'!H$4:H$200,"SANPC/SFF",'Monthly Activity Log'!C$4:C$200,"Nyameka"),COUNTIFS('Monthly Activity Log'!B$4:B$200,$B$3,'Monthly Activity Log'!H$4:H$200,"SANPC/SFF",'Monthly Activity Log'!C$4:C$200,"Nyameka")),IF($B$3="All",COUNTIFS('Monthly Activity Log'!H$4:H$200,"SANPC/SFF",'Monthly Activity Log'!C$4:C$200,"Lindiwe"),COUNTIFS('Monthly Activity Log'!B$4:B$200,$B$3,'Monthly Activity Log'!H$4:H$200,"SANPC/SFF",'Monthly Activity Log'!C$4:C$200,"Lindiwe")),IF($B$3="All",COUNTIFS('Monthly Activity Log'!H$4:H$200,"SANPC/SFF",'Monthly Activity Log'!C$4:C$200,"T A Willems"),COUNTIFS('Monthly Activity Log'!B$4:B$200,$B$3,'Monthly Activity Log'!H$4:H$200,"SANPC/SFF",'Monthly Activity Log'!C$4:C$200,"T A Willems")),IF($B$3="All",COUNTIFS('Monthly Activity Log'!H$4:H$200,"SANPC/SFF",'Monthly Activity Log'!C$4:C$200,"Mphatheleni Matidze"),COUNTIFS('Monthly Activity Log'!B$4:B$200,$B$3,'Monthly Activity Log'!H$4:H$200,"SANPC/SFF",'Monthly Activity Log'!C$4:C$200,"Mphatheleni Matidze"))),"T A Willems",IF(IF($B$3="All",COUNTIFS('Monthly Activity Log'!H$4:H$200,"SANPC/SFF",'Monthly Activity Log'!C$4:C$200,"Mphatheleni Matidze"),COUNTIFS('Monthly Activity Log'!B$4:B$200,$B$3,'Monthly Activity Log'!H$4:H$200,"SANPC/SFF",'Monthly Activity Log'!C$4:C$200,"Mphatheleni Matidze"))=MAX(IF($B$3="All",COUNTIFS('Monthly Activity Log'!H$4:H$200,"SANPC/SFF",'Monthly Activity Log'!C$4:C$200,"Shennaz"),COUNTIFS('Monthly Activity Log'!B$4:B$200,$B$3,'Monthly Activity Log'!H$4:H$200,"SANPC/SFF",'Monthly Activity Log'!C$4:C$200,"Shennaz")),IF($B$3="All",COUNTIFS('Monthly Activity Log'!H$4:H$200,"SANPC/SFF",'Monthly Activity Log'!C$4:C$200,"Nyameka"),COUNTIFS('Monthly Activity Log'!B$4:B$200,$B$3,'Monthly Activity Log'!H$4:H$200,"SANPC/SFF",'Monthly Activity Log'!C$4:C$200,"Nyameka")),IF($B$3="All",COUNTIFS('Monthly Activity Log'!H$4:H$200,"SANPC/SFF",'Monthly Activity Log'!C$4:C$200,"Lindiwe"),COUNTIFS('Monthly Activity Log'!B$4:B$200,$B$3,'Monthly Activity Log'!H$4:H$200,"SANPC/SFF",'Monthly Activity Log'!C$4:C$200,"Lindiwe")),IF($B$3="All",COUNTIFS('Monthly Activity Log'!H$4:H$200,"SANPC/SFF",'Monthly Activity Log'!C$4:C$200,"T A Willems"),COUNTIFS('Monthly Activity Log'!B$4:B$200,$B$3,'Monthly Activity Log'!H$4:H$200,"SANPC/SFF",'Monthly Activity Log'!C$4:C$200,"T A Willems")),IF($B$3="All",COUNTIFS('Monthly Activity Log'!H$4:H$200,"SANPC/SFF",'Monthly Activity Log'!C$4:C$200,"Mphatheleni Matidze"),COUNTIFS('Monthly Activity Log'!B$4:B$200,$B$3,'Monthly Activity Log'!H$4:H$200,"SANPC/SFF",'Monthly Activity Log'!C$4:C$200,"Mphatheleni Matidze"))),"Mphatheleni Matidze","-"))))))</f>
        <v/>
      </c>
      <c r="I9" s="96">
        <f>IF(B9=0,"-",IF(IF($B$3="All",COUNTIFS('Monthly Activity Log'!H$4:H$200,"SANPC/SFF",'Monthly Activity Log'!I$4:I$200,"Project"),COUNTIFS('Monthly Activity Log'!B$4:B$200,$B$3,'Monthly Activity Log'!H$4:H$200,"SANPC/SFF",'Monthly Activity Log'!I$4:I$200,"Project"))=MAX(IF($B$3="All",COUNTIFS('Monthly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Log'!I$4:I$200,"Other"))),"Project",IF(IF($B$3="All",COUNTIFS('Monthly Activity Log'!H$4:H$200,"SANPC/SFF",'Monthly Activity Log'!I$4:I$200,"Incident/Bug Fix"),COUNTIFS('Monthly Activity Log'!B$4:B$200,$B$3,'Monthly Activity Log'!H$4:H$200,"SANPC/SFF",'Monthly Activity Log'!I$4:I$200,"Incident/Bug Fix"))=MAX(IF($B$3="All",COUNTIFS('Monthly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Log'!I$4:I$200,"Other"))),"Incident/Bug Fix",IF(IF($B$3="All",COUNTIFS('Monthly Activity Log'!H$4:H$200,"SANPC/SFF",'Monthly Activity Log'!I$4:I$200,"Change Request"),COUNTIFS('Monthly Activity Log'!B$4:B$200,$B$3,'Monthly Activity Log'!H$4:H$200,"SANPC/SFF",'Monthly Activity Log'!I$4:I$200,"Change Request"))=MAX(IF($B$3="All",COUNTIFS('Monthly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Log'!I$4:I$200,"Other"))),"Change Request",IF(IF($B$3="All",COUNTIFS('Monthly Activity Log'!H$4:H$200,"SANPC/SFF",'Monthly Activity Log'!I$4:I$200,"User Support"),COUNTIFS('Monthly Activity Log'!B$4:B$200,$B$3,'Monthly Activity Log'!H$4:H$200,"SANPC/SFF",'Monthly Activity Log'!I$4:I$200,"User Support"))=MAX(IF($B$3="All",COUNTIFS('Monthly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Log'!I$4:I$200,"Other"))),"User Support",IF(IF($B$3="All",COUNTIFS('Monthly Activity Log'!H$4:H$200,"SANPC/SFF",'Monthly Activity Log'!I$4:I$200,"Admin/Config"),COUNTIFS('Monthly Activity Log'!B$4:B$200,$B$3,'Monthly Activity Log'!H$4:H$200,"SANPC/SFF",'Monthly Activity Log'!I$4:I$200,"Admin/Config"))=MAX(IF($B$3="All",COUNTIFS('Monthly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Log'!I$4:I$200,"Other"))),"Admin/Config",IF(IF($B$3="All",COUNTIFS('Monthly Activity Log'!H$4:H$200,"SANPC/SFF",'Monthly Activity Log'!I$4:I$200,"Reporting"),COUNTIFS('Monthly Activity Log'!B$4:B$200,$B$3,'Monthly Activity Log'!H$4:H$200,"SANPC/SFF",'Monthly Activity Log'!I$4:I$200,"Reporting"))=MAX(IF($B$3="All",COUNTIFS('Monthly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Log'!I$4:I$200,"Other"))),"Reporting",IF(IF($B$3="All",COUNTIFS('Monthly Activity Log'!H$4:H$200,"SANPC/SFF",'Monthly Activity Log'!I$4:I$200,"Mentoring"),COUNTIFS('Monthly Activity Log'!B$4:B$200,$B$3,'Monthly Activity Log'!H$4:H$200,"SANPC/SFF",'Monthly Activity Log'!I$4:I$200,"Mentoring"))=MAX(IF($B$3="All",COUNTIFS('Monthly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Log'!I$4:I$200,"Other"))),"Mentoring",IF(IF($B$3="All",COUNTIFS('Monthly Activity Log'!H$4:H$200,"SANPC/SFF",'Monthly Activity Log'!I$4:I$200,"Other"),COUNTIFS('Monthly Activity Log'!B$4:B$200,$B$3,'Monthly Activity Log'!H$4:H$200,"SANPC/SFF",'Monthly Activity Log'!I$4:I$200,"Other"))=MAX(IF($B$3="All",COUNTIFS('Monthly Activity Log'!H$4:H$200,"SANPC/SFF",'Monthly Activity Log'!I$4:I$200,"Project"),COUNTIFS('Monthly Activity Log'!B$4:B$200,$B$3,'Monthly Activity Log'!H$4:H$200,"SANPC/SFF",'Monthly Activity Log'!I$4:I$200,"Project")),IF($B$3="All",COUNTIFS('Monthly Activity Log'!H$4:H$200,"SANPC/SFF",'Monthly Activity Log'!I$4:I$200,"Incident/Bug Fix"),COUNTIFS('Monthly Activity Log'!B$4:B$200,$B$3,'Monthly Activity Log'!H$4:H$200,"SANPC/SFF",'Monthly Activity Log'!I$4:I$200,"Incident/Bug Fix")),IF($B$3="All",COUNTIFS('Monthly Activity Log'!H$4:H$200,"SANPC/SFF",'Monthly Activity Log'!I$4:I$200,"Change Request"),COUNTIFS('Monthly Activity Log'!B$4:B$200,$B$3,'Monthly Activity Log'!H$4:H$200,"SANPC/SFF",'Monthly Activity Log'!I$4:I$200,"Change Request")),IF($B$3="All",COUNTIFS('Monthly Activity Log'!H$4:H$200,"SANPC/SFF",'Monthly Activity Log'!I$4:I$200,"User Support"),COUNTIFS('Monthly Activity Log'!B$4:B$200,$B$3,'Monthly Activity Log'!H$4:H$200,"SANPC/SFF",'Monthly Activity Log'!I$4:I$200,"User Support")),IF($B$3="All",COUNTIFS('Monthly Activity Log'!H$4:H$200,"SANPC/SFF",'Monthly Activity Log'!I$4:I$200,"Admin/Config"),COUNTIFS('Monthly Activity Log'!B$4:B$200,$B$3,'Monthly Activity Log'!H$4:H$200,"SANPC/SFF",'Monthly Activity Log'!I$4:I$200,"Admin/Config")),IF($B$3="All",COUNTIFS('Monthly Activity Log'!H$4:H$200,"SANPC/SFF",'Monthly Activity Log'!I$4:I$200,"Reporting"),COUNTIFS('Monthly Activity Log'!B$4:B$200,$B$3,'Monthly Activity Log'!H$4:H$200,"SANPC/SFF",'Monthly Activity Log'!I$4:I$200,"Reporting")),IF($B$3="All",COUNTIFS('Monthly Activity Log'!H$4:H$200,"SANPC/SFF",'Monthly Activity Log'!I$4:I$200,"Mentoring"),COUNTIFS('Monthly Activity Log'!B$4:B$200,$B$3,'Monthly Activity Log'!H$4:H$200,"SANPC/SFF",'Monthly Activity Log'!I$4:I$200,"Mentoring")),IF($B$3="All",COUNTIFS('Monthly Activity Log'!H$4:H$200,"SANPC/SFF",'Monthly Activity Log'!I$4:I$200,"Other"),COUNTIFS('Monthly Activity Log'!B$4:B$200,$B$3,'Monthly Activity Log'!H$4:H$200,"SANPC/SFF",'Monthly Activity Log'!I$4:I$200,"Other"))),"Other","-")))))))))</f>
        <v/>
      </c>
      <c r="J9" s="96">
        <f>D9+E9</f>
        <v/>
      </c>
    </row>
    <row r="10" ht="19.5" customHeight="1" s="65">
      <c r="A10" s="98" t="inlineStr">
        <is>
          <t>PetroSA/SANPC</t>
        </is>
      </c>
      <c r="B10" s="99">
        <f>IF($B$3="All",COUNTIF('Monthly Activity Log'!H$4:H$200,"PetroSA/SANPC"),COUNTIFS('Monthly Activity Log'!B$4:B$200,$B$3,'Monthly Activity Log'!H$4:H$200,"PetroSA/SANPC"))</f>
        <v/>
      </c>
      <c r="C10" s="99">
        <f>IF($B$3="All",COUNTIFS('Monthly Activity Log'!H$4:H$200,"PetroSA/SANPC",'Monthly Activity Log'!K$4:K$200,"Completed"),COUNTIFS('Monthly Activity Log'!B$4:B$200,$B$3,'Monthly Activity Log'!H$4:H$200,"PetroSA/SANPC",'Monthly Activity Log'!K$4:K$200,"Completed"))</f>
        <v/>
      </c>
      <c r="D10" s="99">
        <f>IF($B$3="All",COUNTIFS('Monthly Activity Log'!H$4:H$200,"PetroSA/SANPC",'Monthly Activity Log'!K$4:K$200,"In Progress"),COUNTIFS('Monthly Activity Log'!B$4:B$200,$B$3,'Monthly Activity Log'!H$4:H$200,"PetroSA/SANPC",'Monthly Activity Log'!K$4:K$200,"In Progress"))</f>
        <v/>
      </c>
      <c r="E10" s="99">
        <f>IF($B$3="All",COUNTIFS('Monthly Activity Log'!H$4:H$200,"PetroSA/SANPC",'Monthly Activity Log'!K$4:K$200,"Pending"),COUNTIFS('Monthly Activity Log'!B$4:B$200,$B$3,'Monthly Activity Log'!H$4:H$200,"PetroSA/SANPC",'Monthly Activity Log'!K$4:K$200,"Pending"))</f>
        <v/>
      </c>
      <c r="F10" s="100">
        <f>IFERROR(C10/B10,0)</f>
        <v/>
      </c>
      <c r="G10" s="100">
        <f>IFERROR(B10/'Summary Dashboard'!A7,0)</f>
        <v/>
      </c>
      <c r="H10" s="99">
        <f>IF(B10=0,"-",IF(IF($B$3="All",COUNTIFS('Monthly Activity Log'!H$4:H$200,"PetroSA/SANPC",'Monthly Activity Log'!C$4:C$200,"Shennaz"),COUNTIFS('Monthly Activity Log'!B$4:B$200,$B$3,'Monthly Activity Log'!H$4:H$200,"PetroSA/SANPC",'Monthly Activity Log'!C$4:C$200,"Shennaz"))=MAX(IF($B$3="All",COUNTIFS('Monthly Activity Log'!H$4:H$200,"PetroSA/SANPC",'Monthly Activity Log'!C$4:C$200,"Shennaz"),COUNTIFS('Monthly Activity Log'!B$4:B$200,$B$3,'Monthly Activity Log'!H$4:H$200,"PetroSA/SANPC",'Monthly Activity Log'!C$4:C$200,"Shennaz")),IF($B$3="All",COUNTIFS('Monthly Activity Log'!H$4:H$200,"PetroSA/SANPC",'Monthly Activity Log'!C$4:C$200,"Nyameka"),COUNTIFS('Monthly Activity Log'!B$4:B$200,$B$3,'Monthly Activity Log'!H$4:H$200,"PetroSA/SANPC",'Monthly Activity Log'!C$4:C$200,"Nyameka")),IF($B$3="All",COUNTIFS('Monthly Activity Log'!H$4:H$200,"PetroSA/SANPC",'Monthly Activity Log'!C$4:C$200,"Lindiwe"),COUNTIFS('Monthly Activity Log'!B$4:B$200,$B$3,'Monthly Activity Log'!H$4:H$200,"PetroSA/SANPC",'Monthly Activity Log'!C$4:C$200,"Lindiwe")),IF($B$3="All",COUNTIFS('Monthly Activity Log'!H$4:H$200,"PetroSA/SANPC",'Monthly Activity Log'!C$4:C$200,"T A Willems"),COUNTIFS('Monthly Activity Log'!B$4:B$200,$B$3,'Monthly Activity Log'!H$4:H$200,"PetroSA/SANPC",'Monthly Activity Log'!C$4:C$200,"T A Willems")),IF($B$3="All",COUNTIFS('Monthly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Matidze"))),"Shennaz",IF(IF($B$3="All",COUNTIFS('Monthly Activity Log'!H$4:H$200,"PetroSA/SANPC",'Monthly Activity Log'!C$4:C$200,"Nyameka"),COUNTIFS('Monthly Activity Log'!B$4:B$200,$B$3,'Monthly Activity Log'!H$4:H$200,"PetroSA/SANPC",'Monthly Activity Log'!C$4:C$200,"Nyameka"))=MAX(IF($B$3="All",COUNTIFS('Monthly Activity Log'!H$4:H$200,"PetroSA/SANPC",'Monthly Activity Log'!C$4:C$200,"Shennaz"),COUNTIFS('Monthly Activity Log'!B$4:B$200,$B$3,'Monthly Activity Log'!H$4:H$200,"PetroSA/SANPC",'Monthly Activity Log'!C$4:C$200,"Shennaz")),IF($B$3="All",COUNTIFS('Monthly Activity Log'!H$4:H$200,"PetroSA/SANPC",'Monthly Activity Log'!C$4:C$200,"Nyameka"),COUNTIFS('Monthly Activity Log'!B$4:B$200,$B$3,'Monthly Activity Log'!H$4:H$200,"PetroSA/SANPC",'Monthly Activity Log'!C$4:C$200,"Nyameka")),IF($B$3="All",COUNTIFS('Monthly Activity Log'!H$4:H$200,"PetroSA/SANPC",'Monthly Activity Log'!C$4:C$200,"Lindiwe"),COUNTIFS('Monthly Activity Log'!B$4:B$200,$B$3,'Monthly Activity Log'!H$4:H$200,"PetroSA/SANPC",'Monthly Activity Log'!C$4:C$200,"Lindiwe")),IF($B$3="All",COUNTIFS('Monthly Activity Log'!H$4:H$200,"PetroSA/SANPC",'Monthly Activity Log'!C$4:C$200,"T A Willems"),COUNTIFS('Monthly Activity Log'!B$4:B$200,$B$3,'Monthly Activity Log'!H$4:H$200,"PetroSA/SANPC",'Monthly Activity Log'!C$4:C$200,"T A Willems")),IF($B$3="All",COUNTIFS('Monthly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Matidze"))),"Nyameka",IF(IF($B$3="All",COUNTIFS('Monthly Activity Log'!H$4:H$200,"PetroSA/SANPC",'Monthly Activity Log'!C$4:C$200,"Lindiwe"),COUNTIFS('Monthly Activity Log'!B$4:B$200,$B$3,'Monthly Activity Log'!H$4:H$200,"PetroSA/SANPC",'Monthly Activity Log'!C$4:C$200,"Lindiwe"))=MAX(IF($B$3="All",COUNTIFS('Monthly Activity Log'!H$4:H$200,"PetroSA/SANPC",'Monthly Activity Log'!C$4:C$200,"Shennaz"),COUNTIFS('Monthly Activity Log'!B$4:B$200,$B$3,'Monthly Activity Log'!H$4:H$200,"PetroSA/SANPC",'Monthly Activity Log'!C$4:C$200,"Shennaz")),IF($B$3="All",COUNTIFS('Monthly Activity Log'!H$4:H$200,"PetroSA/SANPC",'Monthly Activity Log'!C$4:C$200,"Nyameka"),COUNTIFS('Monthly Activity Log'!B$4:B$200,$B$3,'Monthly Activity Log'!H$4:H$200,"PetroSA/SANPC",'Monthly Activity Log'!C$4:C$200,"Nyameka")),IF($B$3="All",COUNTIFS('Monthly Activity Log'!H$4:H$200,"PetroSA/SANPC",'Monthly Activity Log'!C$4:C$200,"Lindiwe"),COUNTIFS('Monthly Activity Log'!B$4:B$200,$B$3,'Monthly Activity Log'!H$4:H$200,"PetroSA/SANPC",'Monthly Activity Log'!C$4:C$200,"Lindiwe")),IF($B$3="All",COUNTIFS('Monthly Activity Log'!H$4:H$200,"PetroSA/SANPC",'Monthly Activity Log'!C$4:C$200,"T A Willems"),COUNTIFS('Monthly Activity Log'!B$4:B$200,$B$3,'Monthly Activity Log'!H$4:H$200,"PetroSA/SANPC",'Monthly Activity Log'!C$4:C$200,"T A Willems")),IF($B$3="All",COUNTIFS('Monthly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Matidze"))),"Lindiwe",IF(IF($B$3="All",COUNTIFS('Monthly Activity Log'!H$4:H$200,"PetroSA/SANPC",'Monthly Activity Log'!C$4:C$200,"T A Willems"),COUNTIFS('Monthly Activity Log'!B$4:B$200,$B$3,'Monthly Activity Log'!H$4:H$200,"PetroSA/SANPC",'Monthly Activity Log'!C$4:C$200,"T A Willems"))=MAX(IF($B$3="All",COUNTIFS('Monthly Activity Log'!H$4:H$200,"PetroSA/SANPC",'Monthly Activity Log'!C$4:C$200,"Shennaz"),COUNTIFS('Monthly Activity Log'!B$4:B$200,$B$3,'Monthly Activity Log'!H$4:H$200,"PetroSA/SANPC",'Monthly Activity Log'!C$4:C$200,"Shennaz")),IF($B$3="All",COUNTIFS('Monthly Activity Log'!H$4:H$200,"PetroSA/SANPC",'Monthly Activity Log'!C$4:C$200,"Nyameka"),COUNTIFS('Monthly Activity Log'!B$4:B$200,$B$3,'Monthly Activity Log'!H$4:H$200,"PetroSA/SANPC",'Monthly Activity Log'!C$4:C$200,"Nyameka")),IF($B$3="All",COUNTIFS('Monthly Activity Log'!H$4:H$200,"PetroSA/SANPC",'Monthly Activity Log'!C$4:C$200,"Lindiwe"),COUNTIFS('Monthly Activity Log'!B$4:B$200,$B$3,'Monthly Activity Log'!H$4:H$200,"PetroSA/SANPC",'Monthly Activity Log'!C$4:C$200,"Lindiwe")),IF($B$3="All",COUNTIFS('Monthly Activity Log'!H$4:H$200,"PetroSA/SANPC",'Monthly Activity Log'!C$4:C$200,"T A Willems"),COUNTIFS('Monthly Activity Log'!B$4:B$200,$B$3,'Monthly Activity Log'!H$4:H$200,"PetroSA/SANPC",'Monthly Activity Log'!C$4:C$200,"T A Willems")),IF($B$3="All",COUNTIFS('Monthly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Matidze"))),"T A Willems",IF(IF($B$3="All",COUNTIFS('Monthly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Matidze"))=MAX(IF($B$3="All",COUNTIFS('Monthly Activity Log'!H$4:H$200,"PetroSA/SANPC",'Monthly Activity Log'!C$4:C$200,"Shennaz"),COUNTIFS('Monthly Activity Log'!B$4:B$200,$B$3,'Monthly Activity Log'!H$4:H$200,"PetroSA/SANPC",'Monthly Activity Log'!C$4:C$200,"Shennaz")),IF($B$3="All",COUNTIFS('Monthly Activity Log'!H$4:H$200,"PetroSA/SANPC",'Monthly Activity Log'!C$4:C$200,"Nyameka"),COUNTIFS('Monthly Activity Log'!B$4:B$200,$B$3,'Monthly Activity Log'!H$4:H$200,"PetroSA/SANPC",'Monthly Activity Log'!C$4:C$200,"Nyameka")),IF($B$3="All",COUNTIFS('Monthly Activity Log'!H$4:H$200,"PetroSA/SANPC",'Monthly Activity Log'!C$4:C$200,"Lindiwe"),COUNTIFS('Monthly Activity Log'!B$4:B$200,$B$3,'Monthly Activity Log'!H$4:H$200,"PetroSA/SANPC",'Monthly Activity Log'!C$4:C$200,"Lindiwe")),IF($B$3="All",COUNTIFS('Monthly Activity Log'!H$4:H$200,"PetroSA/SANPC",'Monthly Activity Log'!C$4:C$200,"T A Willems"),COUNTIFS('Monthly Activity Log'!B$4:B$200,$B$3,'Monthly Activity Log'!H$4:H$200,"PetroSA/SANPC",'Monthly Activity Log'!C$4:C$200,"T A Willems")),IF($B$3="All",COUNTIFS('Monthly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Matidze"))),"Mphatheleni Matidze","-"))))))</f>
        <v/>
      </c>
      <c r="I10" s="99">
        <f>IF(B10=0,"-",IF(IF($B$3="All",COUNTIFS('Monthly Activity Log'!H$4:H$200,"PetroSA/SANPC",'Monthly Activity Log'!I$4:I$200,"Project"),COUNTIFS('Monthly Activity Log'!B$4:B$200,$B$3,'Monthly Activity Log'!H$4:H$200,"PetroSA/SANPC",'Monthly Activity Log'!I$4:I$200,"Project"))=MAX(IF($B$3="All",COUNTIFS('Monthly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Log'!I$4:I$200,"Other"))),"Project",IF(IF($B$3="All",COUNTIFS('Monthly Activity Log'!H$4:H$200,"PetroSA/SANPC",'Monthly Activity Log'!I$4:I$200,"Incident/Bug Fix"),COUNTIFS('Monthly Activity Log'!B$4:B$200,$B$3,'Monthly Activity Log'!H$4:H$200,"PetroSA/SANPC",'Monthly Activity Log'!I$4:I$200,"Incident/Bug Fix"))=MAX(IF($B$3="All",COUNTIFS('Monthly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Log'!I$4:I$200,"Other"))),"Incident/Bug Fix",IF(IF($B$3="All",COUNTIFS('Monthly Activity Log'!H$4:H$200,"PetroSA/SANPC",'Monthly Activity Log'!I$4:I$200,"Change Request"),COUNTIFS('Monthly Activity Log'!B$4:B$200,$B$3,'Monthly Activity Log'!H$4:H$200,"PetroSA/SANPC",'Monthly Activity Log'!I$4:I$200,"Change Request"))=MAX(IF($B$3="All",COUNTIFS('Monthly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Log'!I$4:I$200,"Other"))),"Change Request",IF(IF($B$3="All",COUNTIFS('Monthly Activity Log'!H$4:H$200,"PetroSA/SANPC",'Monthly Activity Log'!I$4:I$200,"User Support"),COUNTIFS('Monthly Activity Log'!B$4:B$200,$B$3,'Monthly Activity Log'!H$4:H$200,"PetroSA/SANPC",'Monthly Activity Log'!I$4:I$200,"User Support"))=MAX(IF($B$3="All",COUNTIFS('Monthly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Log'!I$4:I$200,"Other"))),"User Support",IF(IF($B$3="All",COUNTIFS('Monthly Activity Log'!H$4:H$200,"PetroSA/SANPC",'Monthly Activity Log'!I$4:I$200,"Admin/Config"),COUNTIFS('Monthly Activity Log'!B$4:B$200,$B$3,'Monthly Activity Log'!H$4:H$200,"PetroSA/SANPC",'Monthly Activity Log'!I$4:I$200,"Admin/Config"))=MAX(IF($B$3="All",COUNTIFS('Monthly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Log'!I$4:I$200,"Other"))),"Admin/Config",IF(IF($B$3="All",COUNTIFS('Monthly Activity Log'!H$4:H$200,"PetroSA/SANPC",'Monthly Activity Log'!I$4:I$200,"Reporting"),COUNTIFS('Monthly Activity Log'!B$4:B$200,$B$3,'Monthly Activity Log'!H$4:H$200,"PetroSA/SANPC",'Monthly Activity Log'!I$4:I$200,"Reporting"))=MAX(IF($B$3="All",COUNTIFS('Monthly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Log'!I$4:I$200,"Other"))),"Reporting",IF(IF($B$3="All",COUNTIFS('Monthly Activity Log'!H$4:H$200,"PetroSA/SANPC",'Monthly Activity Log'!I$4:I$200,"Mentoring"),COUNTIFS('Monthly Activity Log'!B$4:B$200,$B$3,'Monthly Activity Log'!H$4:H$200,"PetroSA/SANPC",'Monthly Activity Log'!I$4:I$200,"Mentoring"))=MAX(IF($B$3="All",COUNTIFS('Monthly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Log'!I$4:I$200,"Other"))),"Mentoring",IF(IF($B$3="All",COUNTIFS('Monthly Activity Log'!H$4:H$200,"PetroSA/SANPC",'Monthly Activity Log'!I$4:I$200,"Other"),COUNTIFS('Monthly Activity Log'!B$4:B$200,$B$3,'Monthly Activity Log'!H$4:H$200,"PetroSA/SANPC",'Monthly Activity Log'!I$4:I$200,"Other"))=MAX(IF($B$3="All",COUNTIFS('Monthly Activity Log'!H$4:H$200,"PetroSA/SANPC",'Monthly Activity Log'!I$4:I$200,"Project"),COUNTIFS('Monthly Activity Log'!B$4:B$200,$B$3,'Monthly Activity Log'!H$4:H$200,"PetroSA/SANPC",'Monthly Activity Log'!I$4:I$200,"Project")),IF($B$3="All",COUNTIFS('Monthly Activity Log'!H$4:H$200,"PetroSA/SANPC",'Monthly Activity Log'!I$4:I$200,"Incident/Bug Fix"),COUNTIFS('Monthly Activity Log'!B$4:B$200,$B$3,'Monthly Activity Log'!H$4:H$200,"PetroSA/SANPC",'Monthly Activity Log'!I$4:I$200,"Incident/Bug Fix")),IF($B$3="All",COUNTIFS('Monthly Activity Log'!H$4:H$200,"PetroSA/SANPC",'Monthly Activity Log'!I$4:I$200,"Change Request"),COUNTIFS('Monthly Activity Log'!B$4:B$200,$B$3,'Monthly Activity Log'!H$4:H$200,"PetroSA/SANPC",'Monthly Activity Log'!I$4:I$200,"Change Request")),IF($B$3="All",COUNTIFS('Monthly Activity Log'!H$4:H$200,"PetroSA/SANPC",'Monthly Activity Log'!I$4:I$200,"User Support"),COUNTIFS('Monthly Activity Log'!B$4:B$200,$B$3,'Monthly Activity Log'!H$4:H$200,"PetroSA/SANPC",'Monthly Activity Log'!I$4:I$200,"User Support")),IF($B$3="All",COUNTIFS('Monthly Activity Log'!H$4:H$200,"PetroSA/SANPC",'Monthly Activity Log'!I$4:I$200,"Admin/Config"),COUNTIFS('Monthly Activity Log'!B$4:B$200,$B$3,'Monthly Activity Log'!H$4:H$200,"PetroSA/SANPC",'Monthly Activity Log'!I$4:I$200,"Admin/Config")),IF($B$3="All",COUNTIFS('Monthly Activity Log'!H$4:H$200,"PetroSA/SANPC",'Monthly Activity Log'!I$4:I$200,"Reporting"),COUNTIFS('Monthly Activity Log'!B$4:B$200,$B$3,'Monthly Activity Log'!H$4:H$200,"PetroSA/SANPC",'Monthly Activity Log'!I$4:I$200,"Reporting")),IF($B$3="All",COUNTIFS('Monthly Activity Log'!H$4:H$200,"PetroSA/SANPC",'Monthly Activity Log'!I$4:I$200,"Mentoring"),COUNTIFS('Monthly Activity Log'!B$4:B$200,$B$3,'Monthly Activity Log'!H$4:H$200,"PetroSA/SANPC",'Monthly Activity Log'!I$4:I$200,"Mentoring")),IF($B$3="All",COUNTIFS('Monthly Activity Log'!H$4:H$200,"PetroSA/SANPC",'Monthly Activity Log'!I$4:I$200,"Other"),COUNTIFS('Monthly Activity Log'!B$4:B$200,$B$3,'Monthly Activity Log'!H$4:H$200,"PetroSA/SANPC",'Monthly Activity Log'!I$4:I$200,"Other"))),"Other","-")))))))))</f>
        <v/>
      </c>
      <c r="J10" s="99">
        <f>D10+E10</f>
        <v/>
      </c>
    </row>
    <row r="11" ht="19.5" customHeight="1" s="65">
      <c r="A11" s="95" t="inlineStr">
        <is>
          <t>Other</t>
        </is>
      </c>
      <c r="B11" s="96">
        <f>IF($B$3="All",COUNTIF('Monthly Activity Log'!H$4:H$200,"Other"),COUNTIFS('Monthly Activity Log'!B$4:B$200,$B$3,'Monthly Activity Log'!H$4:H$200,"Other"))</f>
        <v/>
      </c>
      <c r="C11" s="96">
        <f>IF($B$3="All",COUNTIFS('Monthly Activity Log'!H$4:H$200,"Other",'Monthly Activity Log'!K$4:K$200,"Completed"),COUNTIFS('Monthly Activity Log'!B$4:B$200,$B$3,'Monthly Activity Log'!H$4:H$200,"Other",'Monthly Activity Log'!K$4:K$200,"Completed"))</f>
        <v/>
      </c>
      <c r="D11" s="96">
        <f>IF($B$3="All",COUNTIFS('Monthly Activity Log'!H$4:H$200,"Other",'Monthly Activity Log'!K$4:K$200,"In Progress"),COUNTIFS('Monthly Activity Log'!B$4:B$200,$B$3,'Monthly Activity Log'!H$4:H$200,"Other",'Monthly Activity Log'!K$4:K$200,"In Progress"))</f>
        <v/>
      </c>
      <c r="E11" s="96">
        <f>IF($B$3="All",COUNTIFS('Monthly Activity Log'!H$4:H$200,"Other",'Monthly Activity Log'!K$4:K$200,"Pending"),COUNTIFS('Monthly Activity Log'!B$4:B$200,$B$3,'Monthly Activity Log'!H$4:H$200,"Other",'Monthly Activity Log'!K$4:K$200,"Pending"))</f>
        <v/>
      </c>
      <c r="F11" s="97">
        <f>IFERROR(C11/B11,0)</f>
        <v/>
      </c>
      <c r="G11" s="97">
        <f>IFERROR(B11/'Summary Dashboard'!A7,0)</f>
        <v/>
      </c>
      <c r="H11" s="96">
        <f>IF(B11=0,"-",IF(IF($B$3="All",COUNTIFS('Monthly Activity Log'!H$4:H$200,"Other",'Monthly Activity Log'!C$4:C$200,"Shennaz"),COUNTIFS('Monthly Activity Log'!B$4:B$200,$B$3,'Monthly Activity Log'!H$4:H$200,"Other",'Monthly Activity Log'!C$4:C$200,"Shennaz"))=MAX(IF($B$3="All",COUNTIFS('Monthly Activity Log'!H$4:H$200,"Other",'Monthly Activity Log'!C$4:C$200,"Shennaz"),COUNTIFS('Monthly Activity Log'!B$4:B$200,$B$3,'Monthly Activity Log'!H$4:H$200,"Other",'Monthly Activity Log'!C$4:C$200,"Shennaz")),IF($B$3="All",COUNTIFS('Monthly Activity Log'!H$4:H$200,"Other",'Monthly Activity Log'!C$4:C$200,"Nyameka"),COUNTIFS('Monthly Activity Log'!B$4:B$200,$B$3,'Monthly Activity Log'!H$4:H$200,"Other",'Monthly Activity Log'!C$4:C$200,"Nyameka")),IF($B$3="All",COUNTIFS('Monthly Activity Log'!H$4:H$200,"Other",'Monthly Activity Log'!C$4:C$200,"Lindiwe"),COUNTIFS('Monthly Activity Log'!B$4:B$200,$B$3,'Monthly Activity Log'!H$4:H$200,"Other",'Monthly Activity Log'!C$4:C$200,"Lindiwe")),IF($B$3="All",COUNTIFS('Monthly Activity Log'!H$4:H$200,"Other",'Monthly Activity Log'!C$4:C$200,"T A Willems"),COUNTIFS('Monthly Activity Log'!B$4:B$200,$B$3,'Monthly Activity Log'!H$4:H$200,"Other",'Monthly Activity Log'!C$4:C$200,"T A Willems")),IF($B$3="All",COUNTIFS('Monthly Activity Log'!H$4:H$200,"Other",'Monthly Activity Log'!C$4:C$200,"Mphatheleni Matidze"),COUNTIFS('Monthly Activity Log'!B$4:B$200,$B$3,'Monthly Activity Log'!H$4:H$200,"Other",'Monthly Activity Log'!C$4:C$200,"Mphatheleni Matidze"))),"Shennaz",IF(IF($B$3="All",COUNTIFS('Monthly Activity Log'!H$4:H$200,"Other",'Monthly Activity Log'!C$4:C$200,"Nyameka"),COUNTIFS('Monthly Activity Log'!B$4:B$200,$B$3,'Monthly Activity Log'!H$4:H$200,"Other",'Monthly Activity Log'!C$4:C$200,"Nyameka"))=MAX(IF($B$3="All",COUNTIFS('Monthly Activity Log'!H$4:H$200,"Other",'Monthly Activity Log'!C$4:C$200,"Shennaz"),COUNTIFS('Monthly Activity Log'!B$4:B$200,$B$3,'Monthly Activity Log'!H$4:H$200,"Other",'Monthly Activity Log'!C$4:C$200,"Shennaz")),IF($B$3="All",COUNTIFS('Monthly Activity Log'!H$4:H$200,"Other",'Monthly Activity Log'!C$4:C$200,"Nyameka"),COUNTIFS('Monthly Activity Log'!B$4:B$200,$B$3,'Monthly Activity Log'!H$4:H$200,"Other",'Monthly Activity Log'!C$4:C$200,"Nyameka")),IF($B$3="All",COUNTIFS('Monthly Activity Log'!H$4:H$200,"Other",'Monthly Activity Log'!C$4:C$200,"Lindiwe"),COUNTIFS('Monthly Activity Log'!B$4:B$200,$B$3,'Monthly Activity Log'!H$4:H$200,"Other",'Monthly Activity Log'!C$4:C$200,"Lindiwe")),IF($B$3="All",COUNTIFS('Monthly Activity Log'!H$4:H$200,"Other",'Monthly Activity Log'!C$4:C$200,"T A Willems"),COUNTIFS('Monthly Activity Log'!B$4:B$200,$B$3,'Monthly Activity Log'!H$4:H$200,"Other",'Monthly Activity Log'!C$4:C$200,"T A Willems")),IF($B$3="All",COUNTIFS('Monthly Activity Log'!H$4:H$200,"Other",'Monthly Activity Log'!C$4:C$200,"Mphatheleni Matidze"),COUNTIFS('Monthly Activity Log'!B$4:B$200,$B$3,'Monthly Activity Log'!H$4:H$200,"Other",'Monthly Activity Log'!C$4:C$200,"Mphatheleni Matidze"))),"Nyameka",IF(IF($B$3="All",COUNTIFS('Monthly Activity Log'!H$4:H$200,"Other",'Monthly Activity Log'!C$4:C$200,"Lindiwe"),COUNTIFS('Monthly Activity Log'!B$4:B$200,$B$3,'Monthly Activity Log'!H$4:H$200,"Other",'Monthly Activity Log'!C$4:C$200,"Lindiwe"))=MAX(IF($B$3="All",COUNTIFS('Monthly Activity Log'!H$4:H$200,"Other",'Monthly Activity Log'!C$4:C$200,"Shennaz"),COUNTIFS('Monthly Activity Log'!B$4:B$200,$B$3,'Monthly Activity Log'!H$4:H$200,"Other",'Monthly Activity Log'!C$4:C$200,"Shennaz")),IF($B$3="All",COUNTIFS('Monthly Activity Log'!H$4:H$200,"Other",'Monthly Activity Log'!C$4:C$200,"Nyameka"),COUNTIFS('Monthly Activity Log'!B$4:B$200,$B$3,'Monthly Activity Log'!H$4:H$200,"Other",'Monthly Activity Log'!C$4:C$200,"Nyameka")),IF($B$3="All",COUNTIFS('Monthly Activity Log'!H$4:H$200,"Other",'Monthly Activity Log'!C$4:C$200,"Lindiwe"),COUNTIFS('Monthly Activity Log'!B$4:B$200,$B$3,'Monthly Activity Log'!H$4:H$200,"Other",'Monthly Activity Log'!C$4:C$200,"Lindiwe")),IF($B$3="All",COUNTIFS('Monthly Activity Log'!H$4:H$200,"Other",'Monthly Activity Log'!C$4:C$200,"T A Willems"),COUNTIFS('Monthly Activity Log'!B$4:B$200,$B$3,'Monthly Activity Log'!H$4:H$200,"Other",'Monthly Activity Log'!C$4:C$200,"T A Willems")),IF($B$3="All",COUNTIFS('Monthly Activity Log'!H$4:H$200,"Other",'Monthly Activity Log'!C$4:C$200,"Mphatheleni Matidze"),COUNTIFS('Monthly Activity Log'!B$4:B$200,$B$3,'Monthly Activity Log'!H$4:H$200,"Other",'Monthly Activity Log'!C$4:C$200,"Mphatheleni Matidze"))),"Lindiwe",IF(IF($B$3="All",COUNTIFS('Monthly Activity Log'!H$4:H$200,"Other",'Monthly Activity Log'!C$4:C$200,"T A Willems"),COUNTIFS('Monthly Activity Log'!B$4:B$200,$B$3,'Monthly Activity Log'!H$4:H$200,"Other",'Monthly Activity Log'!C$4:C$200,"T A Willems"))=MAX(IF($B$3="All",COUNTIFS('Monthly Activity Log'!H$4:H$200,"Other",'Monthly Activity Log'!C$4:C$200,"Shennaz"),COUNTIFS('Monthly Activity Log'!B$4:B$200,$B$3,'Monthly Activity Log'!H$4:H$200,"Other",'Monthly Activity Log'!C$4:C$200,"Shennaz")),IF($B$3="All",COUNTIFS('Monthly Activity Log'!H$4:H$200,"Other",'Monthly Activity Log'!C$4:C$200,"Nyameka"),COUNTIFS('Monthly Activity Log'!B$4:B$200,$B$3,'Monthly Activity Log'!H$4:H$200,"Other",'Monthly Activity Log'!C$4:C$200,"Nyameka")),IF($B$3="All",COUNTIFS('Monthly Activity Log'!H$4:H$200,"Other",'Monthly Activity Log'!C$4:C$200,"Lindiwe"),COUNTIFS('Monthly Activity Log'!B$4:B$200,$B$3,'Monthly Activity Log'!H$4:H$200,"Other",'Monthly Activity Log'!C$4:C$200,"Lindiwe")),IF($B$3="All",COUNTIFS('Monthly Activity Log'!H$4:H$200,"Other",'Monthly Activity Log'!C$4:C$200,"T A Willems"),COUNTIFS('Monthly Activity Log'!B$4:B$200,$B$3,'Monthly Activity Log'!H$4:H$200,"Other",'Monthly Activity Log'!C$4:C$200,"T A Willems")),IF($B$3="All",COUNTIFS('Monthly Activity Log'!H$4:H$200,"Other",'Monthly Activity Log'!C$4:C$200,"Mphatheleni Matidze"),COUNTIFS('Monthly Activity Log'!B$4:B$200,$B$3,'Monthly Activity Log'!H$4:H$200,"Other",'Monthly Activity Log'!C$4:C$200,"Mphatheleni Matidze"))),"T A Willems",IF(IF($B$3="All",COUNTIFS('Monthly Activity Log'!H$4:H$200,"Other",'Monthly Activity Log'!C$4:C$200,"Mphatheleni Matidze"),COUNTIFS('Monthly Activity Log'!B$4:B$200,$B$3,'Monthly Activity Log'!H$4:H$200,"Other",'Monthly Activity Log'!C$4:C$200,"Mphatheleni Matidze"))=MAX(IF($B$3="All",COUNTIFS('Monthly Activity Log'!H$4:H$200,"Other",'Monthly Activity Log'!C$4:C$200,"Shennaz"),COUNTIFS('Monthly Activity Log'!B$4:B$200,$B$3,'Monthly Activity Log'!H$4:H$200,"Other",'Monthly Activity Log'!C$4:C$200,"Shennaz")),IF($B$3="All",COUNTIFS('Monthly Activity Log'!H$4:H$200,"Other",'Monthly Activity Log'!C$4:C$200,"Nyameka"),COUNTIFS('Monthly Activity Log'!B$4:B$200,$B$3,'Monthly Activity Log'!H$4:H$200,"Other",'Monthly Activity Log'!C$4:C$200,"Nyameka")),IF($B$3="All",COUNTIFS('Monthly Activity Log'!H$4:H$200,"Other",'Monthly Activity Log'!C$4:C$200,"Lindiwe"),COUNTIFS('Monthly Activity Log'!B$4:B$200,$B$3,'Monthly Activity Log'!H$4:H$200,"Other",'Monthly Activity Log'!C$4:C$200,"Lindiwe")),IF($B$3="All",COUNTIFS('Monthly Activity Log'!H$4:H$200,"Other",'Monthly Activity Log'!C$4:C$200,"T A Willems"),COUNTIFS('Monthly Activity Log'!B$4:B$200,$B$3,'Monthly Activity Log'!H$4:H$200,"Other",'Monthly Activity Log'!C$4:C$200,"T A Willems")),IF($B$3="All",COUNTIFS('Monthly Activity Log'!H$4:H$200,"Other",'Monthly Activity Log'!C$4:C$200,"Mphatheleni Matidze"),COUNTIFS('Monthly Activity Log'!B$4:B$200,$B$3,'Monthly Activity Log'!H$4:H$200,"Other",'Monthly Activity Log'!C$4:C$200,"Mphatheleni Matidze"))),"Mphatheleni Matidze","-"))))))</f>
        <v/>
      </c>
      <c r="I11" s="96">
        <f>IF(B11=0,"-",IF(IF($B$3="All",COUNTIFS('Monthly Activity Log'!H$4:H$200,"Other",'Monthly Activity Log'!I$4:I$200,"Project"),COUNTIFS('Monthly Activity Log'!B$4:B$200,$B$3,'Monthly Activity Log'!H$4:H$200,"Other",'Monthly Activity Log'!I$4:I$200,"Project"))=MAX(IF($B$3="All",COUNTIFS('Monthly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Log'!I$4:I$200,"Other"))),"Project",IF(IF($B$3="All",COUNTIFS('Monthly Activity Log'!H$4:H$200,"Other",'Monthly Activity Log'!I$4:I$200,"Incident/Bug Fix"),COUNTIFS('Monthly Activity Log'!B$4:B$200,$B$3,'Monthly Activity Log'!H$4:H$200,"Other",'Monthly Activity Log'!I$4:I$200,"Incident/Bug Fix"))=MAX(IF($B$3="All",COUNTIFS('Monthly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Log'!I$4:I$200,"Other"))),"Incident/Bug Fix",IF(IF($B$3="All",COUNTIFS('Monthly Activity Log'!H$4:H$200,"Other",'Monthly Activity Log'!I$4:I$200,"Change Request"),COUNTIFS('Monthly Activity Log'!B$4:B$200,$B$3,'Monthly Activity Log'!H$4:H$200,"Other",'Monthly Activity Log'!I$4:I$200,"Change Request"))=MAX(IF($B$3="All",COUNTIFS('Monthly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Log'!I$4:I$200,"Other"))),"Change Request",IF(IF($B$3="All",COUNTIFS('Monthly Activity Log'!H$4:H$200,"Other",'Monthly Activity Log'!I$4:I$200,"User Support"),COUNTIFS('Monthly Activity Log'!B$4:B$200,$B$3,'Monthly Activity Log'!H$4:H$200,"Other",'Monthly Activity Log'!I$4:I$200,"User Support"))=MAX(IF($B$3="All",COUNTIFS('Monthly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Log'!I$4:I$200,"Other"))),"User Support",IF(IF($B$3="All",COUNTIFS('Monthly Activity Log'!H$4:H$200,"Other",'Monthly Activity Log'!I$4:I$200,"Admin/Config"),COUNTIFS('Monthly Activity Log'!B$4:B$200,$B$3,'Monthly Activity Log'!H$4:H$200,"Other",'Monthly Activity Log'!I$4:I$200,"Admin/Config"))=MAX(IF($B$3="All",COUNTIFS('Monthly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Log'!I$4:I$200,"Other"))),"Admin/Config",IF(IF($B$3="All",COUNTIFS('Monthly Activity Log'!H$4:H$200,"Other",'Monthly Activity Log'!I$4:I$200,"Reporting"),COUNTIFS('Monthly Activity Log'!B$4:B$200,$B$3,'Monthly Activity Log'!H$4:H$200,"Other",'Monthly Activity Log'!I$4:I$200,"Reporting"))=MAX(IF($B$3="All",COUNTIFS('Monthly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Log'!I$4:I$200,"Other"))),"Reporting",IF(IF($B$3="All",COUNTIFS('Monthly Activity Log'!H$4:H$200,"Other",'Monthly Activity Log'!I$4:I$200,"Mentoring"),COUNTIFS('Monthly Activity Log'!B$4:B$200,$B$3,'Monthly Activity Log'!H$4:H$200,"Other",'Monthly Activity Log'!I$4:I$200,"Mentoring"))=MAX(IF($B$3="All",COUNTIFS('Monthly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Log'!I$4:I$200,"Other"))),"Mentoring",IF(IF($B$3="All",COUNTIFS('Monthly Activity Log'!H$4:H$200,"Other",'Monthly Activity Log'!I$4:I$200,"Other"),COUNTIFS('Monthly Activity Log'!B$4:B$200,$B$3,'Monthly Activity Log'!H$4:H$200,"Other",'Monthly Activity Log'!I$4:I$200,"Other"))=MAX(IF($B$3="All",COUNTIFS('Monthly Activity Log'!H$4:H$200,"Other",'Monthly Activity Log'!I$4:I$200,"Project"),COUNTIFS('Monthly Activity Log'!B$4:B$200,$B$3,'Monthly Activity Log'!H$4:H$200,"Other",'Monthly Activity Log'!I$4:I$200,"Project")),IF($B$3="All",COUNTIFS('Monthly Activity Log'!H$4:H$200,"Other",'Monthly Activity Log'!I$4:I$200,"Incident/Bug Fix"),COUNTIFS('Monthly Activity Log'!B$4:B$200,$B$3,'Monthly Activity Log'!H$4:H$200,"Other",'Monthly Activity Log'!I$4:I$200,"Incident/Bug Fix")),IF($B$3="All",COUNTIFS('Monthly Activity Log'!H$4:H$200,"Other",'Monthly Activity Log'!I$4:I$200,"Change Request"),COUNTIFS('Monthly Activity Log'!B$4:B$200,$B$3,'Monthly Activity Log'!H$4:H$200,"Other",'Monthly Activity Log'!I$4:I$200,"Change Request")),IF($B$3="All",COUNTIFS('Monthly Activity Log'!H$4:H$200,"Other",'Monthly Activity Log'!I$4:I$200,"User Support"),COUNTIFS('Monthly Activity Log'!B$4:B$200,$B$3,'Monthly Activity Log'!H$4:H$200,"Other",'Monthly Activity Log'!I$4:I$200,"User Support")),IF($B$3="All",COUNTIFS('Monthly Activity Log'!H$4:H$200,"Other",'Monthly Activity Log'!I$4:I$200,"Admin/Config"),COUNTIFS('Monthly Activity Log'!B$4:B$200,$B$3,'Monthly Activity Log'!H$4:H$200,"Other",'Monthly Activity Log'!I$4:I$200,"Admin/Config")),IF($B$3="All",COUNTIFS('Monthly Activity Log'!H$4:H$200,"Other",'Monthly Activity Log'!I$4:I$200,"Reporting"),COUNTIFS('Monthly Activity Log'!B$4:B$200,$B$3,'Monthly Activity Log'!H$4:H$200,"Other",'Monthly Activity Log'!I$4:I$200,"Reporting")),IF($B$3="All",COUNTIFS('Monthly Activity Log'!H$4:H$200,"Other",'Monthly Activity Log'!I$4:I$200,"Mentoring"),COUNTIFS('Monthly Activity Log'!B$4:B$200,$B$3,'Monthly Activity Log'!H$4:H$200,"Other",'Monthly Activity Log'!I$4:I$200,"Mentoring")),IF($B$3="All",COUNTIFS('Monthly Activity Log'!H$4:H$200,"Other",'Monthly Activity Log'!I$4:I$200,"Other"),COUNTIFS('Monthly Activity Log'!B$4:B$200,$B$3,'Monthly Activity Log'!H$4:H$200,"Other",'Monthly Activity Log'!I$4:I$200,"Other"))),"Other","-")))))))))</f>
        <v/>
      </c>
      <c r="J11" s="96">
        <f>D11+E11</f>
        <v/>
      </c>
    </row>
    <row r="12" ht="19.5" customHeight="1" s="65">
      <c r="A12" s="101" t="inlineStr">
        <is>
          <t>TOTAL</t>
        </is>
      </c>
      <c r="B12" s="102">
        <f>SUM(B5:B11)</f>
        <v/>
      </c>
      <c r="C12" s="102">
        <f>SUM(C5:C11)</f>
        <v/>
      </c>
      <c r="D12" s="102">
        <f>SUM(D5:D11)</f>
        <v/>
      </c>
      <c r="E12" s="102">
        <f>SUM(E5:E11)</f>
        <v/>
      </c>
      <c r="F12" s="103">
        <f>IFERROR(C12/B12,0)</f>
        <v/>
      </c>
      <c r="G12" s="105" t="n"/>
      <c r="H12" s="105" t="n"/>
      <c r="I12" s="105" t="n"/>
      <c r="J12" s="102">
        <f>SUM(J5:J11)</f>
        <v/>
      </c>
    </row>
    <row r="14" ht="19.5" customHeight="1" s="65">
      <c r="A14" s="92" t="inlineStr">
        <is>
          <t>TEAM MEMBER BREAKDOWN PER CLIENT</t>
        </is>
      </c>
      <c r="B14" s="93" t="n"/>
      <c r="C14" s="93" t="n"/>
      <c r="D14" s="93" t="n"/>
      <c r="E14" s="93" t="n"/>
      <c r="F14" s="93" t="n"/>
      <c r="G14" s="93" t="n"/>
      <c r="H14" s="93" t="n"/>
      <c r="I14" s="93" t="n"/>
      <c r="J14" s="85" t="n"/>
    </row>
    <row r="15" ht="18" customHeight="1" s="65">
      <c r="A15" s="106" t="inlineStr">
        <is>
          <t xml:space="preserve">  SANPC</t>
        </is>
      </c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</row>
    <row r="16" ht="19.5" customHeight="1" s="65">
      <c r="A16" s="94" t="inlineStr">
        <is>
          <t>Team Member</t>
        </is>
      </c>
      <c r="B16" s="94" t="inlineStr">
        <is>
          <t>Total</t>
        </is>
      </c>
      <c r="C16" s="94" t="inlineStr">
        <is>
          <t>Completed</t>
        </is>
      </c>
      <c r="D16" s="94" t="inlineStr">
        <is>
          <t>In Progress</t>
        </is>
      </c>
      <c r="E16" s="94" t="inlineStr">
        <is>
          <t>Pending</t>
        </is>
      </c>
      <c r="F16" s="94" t="inlineStr">
        <is>
          <t>% Done</t>
        </is>
      </c>
      <c r="G16" s="107" t="n"/>
      <c r="H16" s="93" t="n"/>
      <c r="I16" s="93" t="n"/>
      <c r="J16" s="93" t="n"/>
    </row>
    <row r="17" ht="15.75" customHeight="1" s="65">
      <c r="A17" s="79" t="inlineStr">
        <is>
          <t>Shennaz</t>
        </is>
      </c>
      <c r="B17" s="96">
        <f>IF($B$3="All",COUNTIFS('Monthly Activity Log'!H$4:H$200,"SANPC",'Monthly Activity Log'!C$4:C$200,"Shennaz"),COUNTIFS('Monthly Activity Log'!B$4:B$200,$B$3,'Monthly Activity Log'!H$4:H$200,"SANPC",'Monthly Activity Log'!C$4:C$200,"Shennaz"))</f>
        <v/>
      </c>
      <c r="C17" s="96">
        <f>IF($B$3="All",COUNTIFS('Monthly Activity Log'!H$4:H$200,"SANPC",'Monthly Activity Log'!C$4:C$200,"Shennaz",'Monthly Activity Log'!K$4:K$200,"Completed"),COUNTIFS('Monthly Activity Log'!B$4:B$200,$B$3,'Monthly Activity Log'!H$4:H$200,"SANPC",'Monthly Activity Log'!C$4:C$200,"Shennaz",'Monthly Activity Log'!K$4:K$200,"Completed"))</f>
        <v/>
      </c>
      <c r="D17" s="96">
        <f>IF($B$3="All",COUNTIFS('Monthly Activity Log'!H$4:H$200,"SANPC",'Monthly Activity Log'!C$4:C$200,"Shennaz",'Monthly Activity Log'!K$4:K$200,"In Progress"),COUNTIFS('Monthly Activity Log'!B$4:B$200,$B$3,'Monthly Activity Log'!H$4:H$200,"SANPC",'Monthly Activity Log'!C$4:C$200,"Shennaz",'Monthly Activity Log'!K$4:K$200,"In Progress"))</f>
        <v/>
      </c>
      <c r="E17" s="96">
        <f>IF($B$3="All",COUNTIFS('Monthly Activity Log'!H$4:H$200,"SANPC",'Monthly Activity Log'!C$4:C$200,"Shennaz",'Monthly Activity Log'!K$4:K$200,"Pending"),COUNTIFS('Monthly Activity Log'!B$4:B$200,$B$3,'Monthly Activity Log'!H$4:H$200,"SANPC",'Monthly Activity Log'!C$4:C$200,"Shennaz",'Monthly Activity Log'!K$4:K$200,"Pending"))</f>
        <v/>
      </c>
      <c r="F17" s="97">
        <f>IFERROR(C17/B17,0)</f>
        <v/>
      </c>
      <c r="G17" s="108" t="n"/>
      <c r="H17" s="93" t="n"/>
      <c r="I17" s="93" t="n"/>
      <c r="J17" s="93" t="n"/>
    </row>
    <row r="18" ht="15.75" customHeight="1" s="65">
      <c r="A18" s="81" t="inlineStr">
        <is>
          <t>Nyameka</t>
        </is>
      </c>
      <c r="B18" s="99">
        <f>IF($B$3="All",COUNTIFS('Monthly Activity Log'!H$4:H$200,"SANPC",'Monthly Activity Log'!C$4:C$200,"Nyameka"),COUNTIFS('Monthly Activity Log'!B$4:B$200,$B$3,'Monthly Activity Log'!H$4:H$200,"SANPC",'Monthly Activity Log'!C$4:C$200,"Nyameka"))</f>
        <v/>
      </c>
      <c r="C18" s="99">
        <f>IF($B$3="All",COUNTIFS('Monthly Activity Log'!H$4:H$200,"SANPC",'Monthly Activity Log'!C$4:C$200,"Nyameka",'Monthly Activity Log'!K$4:K$200,"Completed"),COUNTIFS('Monthly Activity Log'!B$4:B$200,$B$3,'Monthly Activity Log'!H$4:H$200,"SANPC",'Monthly Activity Log'!C$4:C$200,"Nyameka",'Monthly Activity Log'!K$4:K$200,"Completed"))</f>
        <v/>
      </c>
      <c r="D18" s="99">
        <f>IF($B$3="All",COUNTIFS('Monthly Activity Log'!H$4:H$200,"SANPC",'Monthly Activity Log'!C$4:C$200,"Nyameka",'Monthly Activity Log'!K$4:K$200,"In Progress"),COUNTIFS('Monthly Activity Log'!B$4:B$200,$B$3,'Monthly Activity Log'!H$4:H$200,"SANPC",'Monthly Activity Log'!C$4:C$200,"Nyameka",'Monthly Activity Log'!K$4:K$200,"In Progress"))</f>
        <v/>
      </c>
      <c r="E18" s="99">
        <f>IF($B$3="All",COUNTIFS('Monthly Activity Log'!H$4:H$200,"SANPC",'Monthly Activity Log'!C$4:C$200,"Nyameka",'Monthly Activity Log'!K$4:K$200,"Pending"),COUNTIFS('Monthly Activity Log'!B$4:B$200,$B$3,'Monthly Activity Log'!H$4:H$200,"SANPC",'Monthly Activity Log'!C$4:C$200,"Nyameka",'Monthly Activity Log'!K$4:K$200,"Pending"))</f>
        <v/>
      </c>
      <c r="F18" s="100">
        <f>IFERROR(C18/B18,0)</f>
        <v/>
      </c>
      <c r="G18" s="109" t="n"/>
      <c r="H18" s="93" t="n"/>
      <c r="I18" s="93" t="n"/>
      <c r="J18" s="93" t="n"/>
    </row>
    <row r="19" ht="15.75" customHeight="1" s="65">
      <c r="A19" s="79" t="inlineStr">
        <is>
          <t>Lindiwe</t>
        </is>
      </c>
      <c r="B19" s="96">
        <f>IF($B$3="All",COUNTIFS('Monthly Activity Log'!H$4:H$200,"SANPC",'Monthly Activity Log'!C$4:C$200,"Lindiwe"),COUNTIFS('Monthly Activity Log'!B$4:B$200,$B$3,'Monthly Activity Log'!H$4:H$200,"SANPC",'Monthly Activity Log'!C$4:C$200,"Lindiwe"))</f>
        <v/>
      </c>
      <c r="C19" s="96">
        <f>IF($B$3="All",COUNTIFS('Monthly Activity Log'!H$4:H$200,"SANPC",'Monthly Activity Log'!C$4:C$200,"Lindiwe",'Monthly Activity Log'!K$4:K$200,"Completed"),COUNTIFS('Monthly Activity Log'!B$4:B$200,$B$3,'Monthly Activity Log'!H$4:H$200,"SANPC",'Monthly Activity Log'!C$4:C$200,"Lindiwe",'Monthly Activity Log'!K$4:K$200,"Completed"))</f>
        <v/>
      </c>
      <c r="D19" s="96">
        <f>IF($B$3="All",COUNTIFS('Monthly Activity Log'!H$4:H$200,"SANPC",'Monthly Activity Log'!C$4:C$200,"Lindiwe",'Monthly Activity Log'!K$4:K$200,"In Progress"),COUNTIFS('Monthly Activity Log'!B$4:B$200,$B$3,'Monthly Activity Log'!H$4:H$200,"SANPC",'Monthly Activity Log'!C$4:C$200,"Lindiwe",'Monthly Activity Log'!K$4:K$200,"In Progress"))</f>
        <v/>
      </c>
      <c r="E19" s="96">
        <f>IF($B$3="All",COUNTIFS('Monthly Activity Log'!H$4:H$200,"SANPC",'Monthly Activity Log'!C$4:C$200,"Lindiwe",'Monthly Activity Log'!K$4:K$200,"Pending"),COUNTIFS('Monthly Activity Log'!B$4:B$200,$B$3,'Monthly Activity Log'!H$4:H$200,"SANPC",'Monthly Activity Log'!C$4:C$200,"Lindiwe",'Monthly Activity Log'!K$4:K$200,"Pending"))</f>
        <v/>
      </c>
      <c r="F19" s="97">
        <f>IFERROR(C19/B19,0)</f>
        <v/>
      </c>
      <c r="G19" s="108" t="n"/>
      <c r="H19" s="93" t="n"/>
      <c r="I19" s="93" t="n"/>
      <c r="J19" s="93" t="n"/>
    </row>
    <row r="20" ht="15.75" customHeight="1" s="65">
      <c r="A20" s="81" t="inlineStr">
        <is>
          <t>T A Willems</t>
        </is>
      </c>
      <c r="B20" s="99">
        <f>IF($B$3="All",COUNTIFS('Monthly Activity Log'!H$4:H$200,"SANPC",'Monthly Activity Log'!C$4:C$200,"T A Willems"),COUNTIFS('Monthly Activity Log'!B$4:B$200,$B$3,'Monthly Activity Log'!H$4:H$200,"SANPC",'Monthly Activity Log'!C$4:C$200,"T A Willems"))</f>
        <v/>
      </c>
      <c r="C20" s="99">
        <f>IF($B$3="All",COUNTIFS('Monthly Activity Log'!H$4:H$200,"SANPC",'Monthly Activity Log'!C$4:C$200,"T A Willems",'Monthly Activity Log'!K$4:K$200,"Completed"),COUNTIFS('Monthly Activity Log'!B$4:B$200,$B$3,'Monthly Activity Log'!H$4:H$200,"SANPC",'Monthly Activity Log'!C$4:C$200,"T A Willems",'Monthly Activity Log'!K$4:K$200,"Completed"))</f>
        <v/>
      </c>
      <c r="D20" s="99">
        <f>IF($B$3="All",COUNTIFS('Monthly Activity Log'!H$4:H$200,"SANPC",'Monthly Activity Log'!C$4:C$200,"T A Willems",'Monthly Activity Log'!K$4:K$200,"In Progress"),COUNTIFS('Monthly Activity Log'!B$4:B$200,$B$3,'Monthly Activity Log'!H$4:H$200,"SANPC",'Monthly Activity Log'!C$4:C$200,"T A Willems",'Monthly Activity Log'!K$4:K$200,"In Progress"))</f>
        <v/>
      </c>
      <c r="E20" s="99">
        <f>IF($B$3="All",COUNTIFS('Monthly Activity Log'!H$4:H$200,"SANPC",'Monthly Activity Log'!C$4:C$200,"T A Willems",'Monthly Activity Log'!K$4:K$200,"Pending"),COUNTIFS('Monthly Activity Log'!B$4:B$200,$B$3,'Monthly Activity Log'!H$4:H$200,"SANPC",'Monthly Activity Log'!C$4:C$200,"T A Willems",'Monthly Activity Log'!K$4:K$200,"Pending"))</f>
        <v/>
      </c>
      <c r="F20" s="100">
        <f>IFERROR(C20/B20,0)</f>
        <v/>
      </c>
      <c r="G20" s="109" t="n"/>
      <c r="H20" s="93" t="n"/>
      <c r="I20" s="93" t="n"/>
      <c r="J20" s="93" t="n"/>
    </row>
    <row r="21" ht="15.75" customHeight="1" s="65">
      <c r="A21" s="79" t="inlineStr">
        <is>
          <t>Mphatheleni Matidze</t>
        </is>
      </c>
      <c r="B21" s="96">
        <f>IF($B$3="All",COUNTIFS('Monthly Activity Log'!H$4:H$200,"SANPC",'Monthly Activity Log'!C$4:C$200,"Mphatheleni Matidze"),COUNTIFS('Monthly Activity Log'!B$4:B$200,$B$3,'Monthly Activity Log'!H$4:H$200,"SANPC",'Monthly Activity Log'!C$4:C$200,"Mphatheleni Matidze"))</f>
        <v/>
      </c>
      <c r="C21" s="96">
        <f>IF($B$3="All",COUNTIFS('Monthly Activity Log'!H$4:H$200,"SANPC",'Monthly Activity Log'!C$4:C$200,"Mphatheleni Matidze",'Monthly Activity Log'!K$4:K$200,"Completed"),COUNTIFS('Monthly Activity Log'!B$4:B$200,$B$3,'Monthly Activity Log'!H$4:H$200,"SANPC",'Monthly Activity Log'!C$4:C$200,"Mphatheleni Matidze",'Monthly Activity Log'!K$4:K$200,"Completed"))</f>
        <v/>
      </c>
      <c r="D21" s="96">
        <f>IF($B$3="All",COUNTIFS('Monthly Activity Log'!H$4:H$200,"SANPC",'Monthly Activity Log'!C$4:C$200,"Mphatheleni Matidze",'Monthly Activity Log'!K$4:K$200,"In Progress"),COUNTIFS('Monthly Activity Log'!B$4:B$200,$B$3,'Monthly Activity Log'!H$4:H$200,"SANPC",'Monthly Activity Log'!C$4:C$200,"Mphatheleni Matidze",'Monthly Activity Log'!K$4:K$200,"In Progress"))</f>
        <v/>
      </c>
      <c r="E21" s="96">
        <f>IF($B$3="All",COUNTIFS('Monthly Activity Log'!H$4:H$200,"SANPC",'Monthly Activity Log'!C$4:C$200,"Mphatheleni Matidze",'Monthly Activity Log'!K$4:K$200,"Pending"),COUNTIFS('Monthly Activity Log'!B$4:B$200,$B$3,'Monthly Activity Log'!H$4:H$200,"SANPC",'Monthly Activity Log'!C$4:C$200,"Mphatheleni Matidze",'Monthly Activity Log'!K$4:K$200,"Pending"))</f>
        <v/>
      </c>
      <c r="F21" s="97">
        <f>IFERROR(C21/B21,0)</f>
        <v/>
      </c>
      <c r="G21" s="108" t="n"/>
      <c r="H21" s="93" t="n"/>
      <c r="I21" s="93" t="n"/>
      <c r="J21" s="93" t="n"/>
    </row>
    <row r="23" ht="18" customHeight="1" s="65">
      <c r="A23" s="106" t="inlineStr">
        <is>
          <t xml:space="preserve">  PetroSA</t>
        </is>
      </c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</row>
    <row r="24" ht="19.5" customHeight="1" s="65">
      <c r="A24" s="94" t="inlineStr">
        <is>
          <t>Team Member</t>
        </is>
      </c>
      <c r="B24" s="94" t="inlineStr">
        <is>
          <t>Total</t>
        </is>
      </c>
      <c r="C24" s="94" t="inlineStr">
        <is>
          <t>Completed</t>
        </is>
      </c>
      <c r="D24" s="94" t="inlineStr">
        <is>
          <t>In Progress</t>
        </is>
      </c>
      <c r="E24" s="94" t="inlineStr">
        <is>
          <t>Pending</t>
        </is>
      </c>
      <c r="F24" s="94" t="inlineStr">
        <is>
          <t>% Done</t>
        </is>
      </c>
      <c r="G24" s="107" t="n"/>
      <c r="H24" s="93" t="n"/>
      <c r="I24" s="93" t="n"/>
      <c r="J24" s="93" t="n"/>
    </row>
    <row r="25" ht="15.75" customHeight="1" s="65">
      <c r="A25" s="79" t="inlineStr">
        <is>
          <t>Shennaz</t>
        </is>
      </c>
      <c r="B25" s="96">
        <f>IF($B$3="All",COUNTIFS('Monthly Activity Log'!H$4:H$200,"PetroSA",'Monthly Activity Log'!C$4:C$200,"Shennaz"),COUNTIFS('Monthly Activity Log'!B$4:B$200,$B$3,'Monthly Activity Log'!H$4:H$200,"PetroSA",'Monthly Activity Log'!C$4:C$200,"Shennaz"))</f>
        <v/>
      </c>
      <c r="C25" s="96">
        <f>IF($B$3="All",COUNTIFS('Monthly Activity Log'!H$4:H$200,"PetroSA",'Monthly Activity Log'!C$4:C$200,"Shennaz",'Monthly Activity Log'!K$4:K$200,"Completed"),COUNTIFS('Monthly Activity Log'!B$4:B$200,$B$3,'Monthly Activity Log'!H$4:H$200,"PetroSA",'Monthly Activity Log'!C$4:C$200,"Shennaz",'Monthly Activity Log'!K$4:K$200,"Completed"))</f>
        <v/>
      </c>
      <c r="D25" s="96">
        <f>IF($B$3="All",COUNTIFS('Monthly Activity Log'!H$4:H$200,"PetroSA",'Monthly Activity Log'!C$4:C$200,"Shennaz",'Monthly Activity Log'!K$4:K$200,"In Progress"),COUNTIFS('Monthly Activity Log'!B$4:B$200,$B$3,'Monthly Activity Log'!H$4:H$200,"PetroSA",'Monthly Activity Log'!C$4:C$200,"Shennaz",'Monthly Activity Log'!K$4:K$200,"In Progress"))</f>
        <v/>
      </c>
      <c r="E25" s="96">
        <f>IF($B$3="All",COUNTIFS('Monthly Activity Log'!H$4:H$200,"PetroSA",'Monthly Activity Log'!C$4:C$200,"Shennaz",'Monthly Activity Log'!K$4:K$200,"Pending"),COUNTIFS('Monthly Activity Log'!B$4:B$200,$B$3,'Monthly Activity Log'!H$4:H$200,"PetroSA",'Monthly Activity Log'!C$4:C$200,"Shennaz",'Monthly Activity Log'!K$4:K$200,"Pending"))</f>
        <v/>
      </c>
      <c r="F25" s="97">
        <f>IFERROR(C25/B25,0)</f>
        <v/>
      </c>
      <c r="G25" s="108" t="n"/>
      <c r="H25" s="93" t="n"/>
      <c r="I25" s="93" t="n"/>
      <c r="J25" s="93" t="n"/>
    </row>
    <row r="26" ht="15.75" customHeight="1" s="65">
      <c r="A26" s="81" t="inlineStr">
        <is>
          <t>Nyameka</t>
        </is>
      </c>
      <c r="B26" s="99">
        <f>IF($B$3="All",COUNTIFS('Monthly Activity Log'!H$4:H$200,"PetroSA",'Monthly Activity Log'!C$4:C$200,"Nyameka"),COUNTIFS('Monthly Activity Log'!B$4:B$200,$B$3,'Monthly Activity Log'!H$4:H$200,"PetroSA",'Monthly Activity Log'!C$4:C$200,"Nyameka"))</f>
        <v/>
      </c>
      <c r="C26" s="99">
        <f>IF($B$3="All",COUNTIFS('Monthly Activity Log'!H$4:H$200,"PetroSA",'Monthly Activity Log'!C$4:C$200,"Nyameka",'Monthly Activity Log'!K$4:K$200,"Completed"),COUNTIFS('Monthly Activity Log'!B$4:B$200,$B$3,'Monthly Activity Log'!H$4:H$200,"PetroSA",'Monthly Activity Log'!C$4:C$200,"Nyameka",'Monthly Activity Log'!K$4:K$200,"Completed"))</f>
        <v/>
      </c>
      <c r="D26" s="99">
        <f>IF($B$3="All",COUNTIFS('Monthly Activity Log'!H$4:H$200,"PetroSA",'Monthly Activity Log'!C$4:C$200,"Nyameka",'Monthly Activity Log'!K$4:K$200,"In Progress"),COUNTIFS('Monthly Activity Log'!B$4:B$200,$B$3,'Monthly Activity Log'!H$4:H$200,"PetroSA",'Monthly Activity Log'!C$4:C$200,"Nyameka",'Monthly Activity Log'!K$4:K$200,"In Progress"))</f>
        <v/>
      </c>
      <c r="E26" s="99">
        <f>IF($B$3="All",COUNTIFS('Monthly Activity Log'!H$4:H$200,"PetroSA",'Monthly Activity Log'!C$4:C$200,"Nyameka",'Monthly Activity Log'!K$4:K$200,"Pending"),COUNTIFS('Monthly Activity Log'!B$4:B$200,$B$3,'Monthly Activity Log'!H$4:H$200,"PetroSA",'Monthly Activity Log'!C$4:C$200,"Nyameka",'Monthly Activity Log'!K$4:K$200,"Pending"))</f>
        <v/>
      </c>
      <c r="F26" s="100">
        <f>IFERROR(C26/B26,0)</f>
        <v/>
      </c>
      <c r="G26" s="109" t="n"/>
      <c r="H26" s="93" t="n"/>
      <c r="I26" s="93" t="n"/>
      <c r="J26" s="93" t="n"/>
    </row>
    <row r="27" ht="15.75" customHeight="1" s="65">
      <c r="A27" s="79" t="inlineStr">
        <is>
          <t>Lindiwe</t>
        </is>
      </c>
      <c r="B27" s="96">
        <f>IF($B$3="All",COUNTIFS('Monthly Activity Log'!H$4:H$200,"PetroSA",'Monthly Activity Log'!C$4:C$200,"Lindiwe"),COUNTIFS('Monthly Activity Log'!B$4:B$200,$B$3,'Monthly Activity Log'!H$4:H$200,"PetroSA",'Monthly Activity Log'!C$4:C$200,"Lindiwe"))</f>
        <v/>
      </c>
      <c r="C27" s="96">
        <f>IF($B$3="All",COUNTIFS('Monthly Activity Log'!H$4:H$200,"PetroSA",'Monthly Activity Log'!C$4:C$200,"Lindiwe",'Monthly Activity Log'!K$4:K$200,"Completed"),COUNTIFS('Monthly Activity Log'!B$4:B$200,$B$3,'Monthly Activity Log'!H$4:H$200,"PetroSA",'Monthly Activity Log'!C$4:C$200,"Lindiwe",'Monthly Activity Log'!K$4:K$200,"Completed"))</f>
        <v/>
      </c>
      <c r="D27" s="96">
        <f>IF($B$3="All",COUNTIFS('Monthly Activity Log'!H$4:H$200,"PetroSA",'Monthly Activity Log'!C$4:C$200,"Lindiwe",'Monthly Activity Log'!K$4:K$200,"In Progress"),COUNTIFS('Monthly Activity Log'!B$4:B$200,$B$3,'Monthly Activity Log'!H$4:H$200,"PetroSA",'Monthly Activity Log'!C$4:C$200,"Lindiwe",'Monthly Activity Log'!K$4:K$200,"In Progress"))</f>
        <v/>
      </c>
      <c r="E27" s="96">
        <f>IF($B$3="All",COUNTIFS('Monthly Activity Log'!H$4:H$200,"PetroSA",'Monthly Activity Log'!C$4:C$200,"Lindiwe",'Monthly Activity Log'!K$4:K$200,"Pending"),COUNTIFS('Monthly Activity Log'!B$4:B$200,$B$3,'Monthly Activity Log'!H$4:H$200,"PetroSA",'Monthly Activity Log'!C$4:C$200,"Lindiwe",'Monthly Activity Log'!K$4:K$200,"Pending"))</f>
        <v/>
      </c>
      <c r="F27" s="97">
        <f>IFERROR(C27/B27,0)</f>
        <v/>
      </c>
      <c r="G27" s="108" t="n"/>
      <c r="H27" s="93" t="n"/>
      <c r="I27" s="93" t="n"/>
      <c r="J27" s="93" t="n"/>
    </row>
    <row r="28" ht="15.75" customHeight="1" s="65">
      <c r="A28" s="81" t="inlineStr">
        <is>
          <t>T A Willems</t>
        </is>
      </c>
      <c r="B28" s="99">
        <f>IF($B$3="All",COUNTIFS('Monthly Activity Log'!H$4:H$200,"PetroSA",'Monthly Activity Log'!C$4:C$200,"T A Willems"),COUNTIFS('Monthly Activity Log'!B$4:B$200,$B$3,'Monthly Activity Log'!H$4:H$200,"PetroSA",'Monthly Activity Log'!C$4:C$200,"T A Willems"))</f>
        <v/>
      </c>
      <c r="C28" s="99">
        <f>IF($B$3="All",COUNTIFS('Monthly Activity Log'!H$4:H$200,"PetroSA",'Monthly Activity Log'!C$4:C$200,"T A Willems",'Monthly Activity Log'!K$4:K$200,"Completed"),COUNTIFS('Monthly Activity Log'!B$4:B$200,$B$3,'Monthly Activity Log'!H$4:H$200,"PetroSA",'Monthly Activity Log'!C$4:C$200,"T A Willems",'Monthly Activity Log'!K$4:K$200,"Completed"))</f>
        <v/>
      </c>
      <c r="D28" s="99">
        <f>IF($B$3="All",COUNTIFS('Monthly Activity Log'!H$4:H$200,"PetroSA",'Monthly Activity Log'!C$4:C$200,"T A Willems",'Monthly Activity Log'!K$4:K$200,"In Progress"),COUNTIFS('Monthly Activity Log'!B$4:B$200,$B$3,'Monthly Activity Log'!H$4:H$200,"PetroSA",'Monthly Activity Log'!C$4:C$200,"T A Willems",'Monthly Activity Log'!K$4:K$200,"In Progress"))</f>
        <v/>
      </c>
      <c r="E28" s="99">
        <f>IF($B$3="All",COUNTIFS('Monthly Activity Log'!H$4:H$200,"PetroSA",'Monthly Activity Log'!C$4:C$200,"T A Willems",'Monthly Activity Log'!K$4:K$200,"Pending"),COUNTIFS('Monthly Activity Log'!B$4:B$200,$B$3,'Monthly Activity Log'!H$4:H$200,"PetroSA",'Monthly Activity Log'!C$4:C$200,"T A Willems",'Monthly Activity Log'!K$4:K$200,"Pending"))</f>
        <v/>
      </c>
      <c r="F28" s="100">
        <f>IFERROR(C28/B28,0)</f>
        <v/>
      </c>
      <c r="G28" s="109" t="n"/>
      <c r="H28" s="93" t="n"/>
      <c r="I28" s="93" t="n"/>
      <c r="J28" s="93" t="n"/>
    </row>
    <row r="29" ht="15.75" customHeight="1" s="65">
      <c r="A29" s="79" t="inlineStr">
        <is>
          <t>Mphatheleni Matidze</t>
        </is>
      </c>
      <c r="B29" s="96">
        <f>IF($B$3="All",COUNTIFS('Monthly Activity Log'!H$4:H$200,"PetroSA",'Monthly Activity Log'!C$4:C$200,"Mphatheleni Matidze"),COUNTIFS('Monthly Activity Log'!B$4:B$200,$B$3,'Monthly Activity Log'!H$4:H$200,"PetroSA",'Monthly Activity Log'!C$4:C$200,"Mphatheleni Matidze"))</f>
        <v/>
      </c>
      <c r="C29" s="96">
        <f>IF($B$3="All",COUNTIFS('Monthly Activity Log'!H$4:H$200,"PetroSA",'Monthly Activity Log'!C$4:C$200,"Mphatheleni Matidze",'Monthly Activity Log'!K$4:K$200,"Completed"),COUNTIFS('Monthly Activity Log'!B$4:B$200,$B$3,'Monthly Activity Log'!H$4:H$200,"PetroSA",'Monthly Activity Log'!C$4:C$200,"Mphatheleni Matidze",'Monthly Activity Log'!K$4:K$200,"Completed"))</f>
        <v/>
      </c>
      <c r="D29" s="96">
        <f>IF($B$3="All",COUNTIFS('Monthly Activity Log'!H$4:H$200,"PetroSA",'Monthly Activity Log'!C$4:C$200,"Mphatheleni Matidze",'Monthly Activity Log'!K$4:K$200,"In Progress"),COUNTIFS('Monthly Activity Log'!B$4:B$200,$B$3,'Monthly Activity Log'!H$4:H$200,"PetroSA",'Monthly Activity Log'!C$4:C$200,"Mphatheleni Matidze",'Monthly Activity Log'!K$4:K$200,"In Progress"))</f>
        <v/>
      </c>
      <c r="E29" s="96">
        <f>IF($B$3="All",COUNTIFS('Monthly Activity Log'!H$4:H$200,"PetroSA",'Monthly Activity Log'!C$4:C$200,"Mphatheleni Matidze",'Monthly Activity Log'!K$4:K$200,"Pending"),COUNTIFS('Monthly Activity Log'!B$4:B$200,$B$3,'Monthly Activity Log'!H$4:H$200,"PetroSA",'Monthly Activity Log'!C$4:C$200,"Mphatheleni Matidze",'Monthly Activity Log'!K$4:K$200,"Pending"))</f>
        <v/>
      </c>
      <c r="F29" s="97">
        <f>IFERROR(C29/B29,0)</f>
        <v/>
      </c>
      <c r="G29" s="108" t="n"/>
      <c r="H29" s="93" t="n"/>
      <c r="I29" s="93" t="n"/>
      <c r="J29" s="93" t="n"/>
    </row>
    <row r="31" ht="18" customHeight="1" s="65">
      <c r="A31" s="106" t="inlineStr">
        <is>
          <t xml:space="preserve">  PetroSA Ghana</t>
        </is>
      </c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</row>
    <row r="32" ht="19.5" customHeight="1" s="65">
      <c r="A32" s="94" t="inlineStr">
        <is>
          <t>Team Member</t>
        </is>
      </c>
      <c r="B32" s="94" t="inlineStr">
        <is>
          <t>Total</t>
        </is>
      </c>
      <c r="C32" s="94" t="inlineStr">
        <is>
          <t>Completed</t>
        </is>
      </c>
      <c r="D32" s="94" t="inlineStr">
        <is>
          <t>In Progress</t>
        </is>
      </c>
      <c r="E32" s="94" t="inlineStr">
        <is>
          <t>Pending</t>
        </is>
      </c>
      <c r="F32" s="94" t="inlineStr">
        <is>
          <t>% Done</t>
        </is>
      </c>
      <c r="G32" s="107" t="n"/>
      <c r="H32" s="93" t="n"/>
      <c r="I32" s="93" t="n"/>
      <c r="J32" s="93" t="n"/>
    </row>
    <row r="33" ht="15.75" customHeight="1" s="65">
      <c r="A33" s="79" t="inlineStr">
        <is>
          <t>Shennaz</t>
        </is>
      </c>
      <c r="B33" s="96">
        <f>IF($B$3="All",COUNTIFS('Monthly Activity Log'!H$4:H$200,"PetroSA Ghana",'Monthly Activity Log'!C$4:C$200,"Shennaz"),COUNTIFS('Monthly Activity Log'!B$4:B$200,$B$3,'Monthly Activity Log'!H$4:H$200,"PetroSA Ghana",'Monthly Activity Log'!C$4:C$200,"Shennaz"))</f>
        <v/>
      </c>
      <c r="C33" s="96">
        <f>IF($B$3="All",COUNTIFS('Monthly Activity Log'!H$4:H$200,"PetroSA Ghana",'Monthly Activity Log'!C$4:C$200,"Shennaz",'Monthly Activity Log'!K$4:K$200,"Completed"),COUNTIFS('Monthly Activity Log'!B$4:B$200,$B$3,'Monthly Activity Log'!H$4:H$200,"PetroSA Ghana",'Monthly Activity Log'!C$4:C$200,"Shennaz",'Monthly Activity Log'!K$4:K$200,"Completed"))</f>
        <v/>
      </c>
      <c r="D33" s="96">
        <f>IF($B$3="All",COUNTIFS('Monthly Activity Log'!H$4:H$200,"PetroSA Ghana",'Monthly Activity Log'!C$4:C$200,"Shennaz",'Monthly Activity Log'!K$4:K$200,"In Progress"),COUNTIFS('Monthly Activity Log'!B$4:B$200,$B$3,'Monthly Activity Log'!H$4:H$200,"PetroSA Ghana",'Monthly Activity Log'!C$4:C$200,"Shennaz",'Monthly Activity Log'!K$4:K$200,"In Progress"))</f>
        <v/>
      </c>
      <c r="E33" s="96">
        <f>IF($B$3="All",COUNTIFS('Monthly Activity Log'!H$4:H$200,"PetroSA Ghana",'Monthly Activity Log'!C$4:C$200,"Shennaz",'Monthly Activity Log'!K$4:K$200,"Pending"),COUNTIFS('Monthly Activity Log'!B$4:B$200,$B$3,'Monthly Activity Log'!H$4:H$200,"PetroSA Ghana",'Monthly Activity Log'!C$4:C$200,"Shennaz",'Monthly Activity Log'!K$4:K$200,"Pending"))</f>
        <v/>
      </c>
      <c r="F33" s="97">
        <f>IFERROR(C33/B33,0)</f>
        <v/>
      </c>
      <c r="G33" s="108" t="n"/>
      <c r="H33" s="93" t="n"/>
      <c r="I33" s="93" t="n"/>
      <c r="J33" s="93" t="n"/>
    </row>
    <row r="34" ht="15.75" customHeight="1" s="65">
      <c r="A34" s="81" t="inlineStr">
        <is>
          <t>Nyameka</t>
        </is>
      </c>
      <c r="B34" s="99">
        <f>IF($B$3="All",COUNTIFS('Monthly Activity Log'!H$4:H$200,"PetroSA Ghana",'Monthly Activity Log'!C$4:C$200,"Nyameka"),COUNTIFS('Monthly Activity Log'!B$4:B$200,$B$3,'Monthly Activity Log'!H$4:H$200,"PetroSA Ghana",'Monthly Activity Log'!C$4:C$200,"Nyameka"))</f>
        <v/>
      </c>
      <c r="C34" s="99">
        <f>IF($B$3="All",COUNTIFS('Monthly Activity Log'!H$4:H$200,"PetroSA Ghana",'Monthly Activity Log'!C$4:C$200,"Nyameka",'Monthly Activity Log'!K$4:K$200,"Completed"),COUNTIFS('Monthly Activity Log'!B$4:B$200,$B$3,'Monthly Activity Log'!H$4:H$200,"PetroSA Ghana",'Monthly Activity Log'!C$4:C$200,"Nyameka",'Monthly Activity Log'!K$4:K$200,"Completed"))</f>
        <v/>
      </c>
      <c r="D34" s="99">
        <f>IF($B$3="All",COUNTIFS('Monthly Activity Log'!H$4:H$200,"PetroSA Ghana",'Monthly Activity Log'!C$4:C$200,"Nyameka",'Monthly Activity Log'!K$4:K$200,"In Progress"),COUNTIFS('Monthly Activity Log'!B$4:B$200,$B$3,'Monthly Activity Log'!H$4:H$200,"PetroSA Ghana",'Monthly Activity Log'!C$4:C$200,"Nyameka",'Monthly Activity Log'!K$4:K$200,"In Progress"))</f>
        <v/>
      </c>
      <c r="E34" s="99">
        <f>IF($B$3="All",COUNTIFS('Monthly Activity Log'!H$4:H$200,"PetroSA Ghana",'Monthly Activity Log'!C$4:C$200,"Nyameka",'Monthly Activity Log'!K$4:K$200,"Pending"),COUNTIFS('Monthly Activity Log'!B$4:B$200,$B$3,'Monthly Activity Log'!H$4:H$200,"PetroSA Ghana",'Monthly Activity Log'!C$4:C$200,"Nyameka",'Monthly Activity Log'!K$4:K$200,"Pending"))</f>
        <v/>
      </c>
      <c r="F34" s="100">
        <f>IFERROR(C34/B34,0)</f>
        <v/>
      </c>
      <c r="G34" s="109" t="n"/>
      <c r="H34" s="93" t="n"/>
      <c r="I34" s="93" t="n"/>
      <c r="J34" s="93" t="n"/>
    </row>
    <row r="35" ht="15.75" customHeight="1" s="65">
      <c r="A35" s="79" t="inlineStr">
        <is>
          <t>Lindiwe</t>
        </is>
      </c>
      <c r="B35" s="96">
        <f>IF($B$3="All",COUNTIFS('Monthly Activity Log'!H$4:H$200,"PetroSA Ghana",'Monthly Activity Log'!C$4:C$200,"Lindiwe"),COUNTIFS('Monthly Activity Log'!B$4:B$200,$B$3,'Monthly Activity Log'!H$4:H$200,"PetroSA Ghana",'Monthly Activity Log'!C$4:C$200,"Lindiwe"))</f>
        <v/>
      </c>
      <c r="C35" s="96">
        <f>IF($B$3="All",COUNTIFS('Monthly Activity Log'!H$4:H$200,"PetroSA Ghana",'Monthly Activity Log'!C$4:C$200,"Lindiwe",'Monthly Activity Log'!K$4:K$200,"Completed"),COUNTIFS('Monthly Activity Log'!B$4:B$200,$B$3,'Monthly Activity Log'!H$4:H$200,"PetroSA Ghana",'Monthly Activity Log'!C$4:C$200,"Lindiwe",'Monthly Activity Log'!K$4:K$200,"Completed"))</f>
        <v/>
      </c>
      <c r="D35" s="96">
        <f>IF($B$3="All",COUNTIFS('Monthly Activity Log'!H$4:H$200,"PetroSA Ghana",'Monthly Activity Log'!C$4:C$200,"Lindiwe",'Monthly Activity Log'!K$4:K$200,"In Progress"),COUNTIFS('Monthly Activity Log'!B$4:B$200,$B$3,'Monthly Activity Log'!H$4:H$200,"PetroSA Ghana",'Monthly Activity Log'!C$4:C$200,"Lindiwe",'Monthly Activity Log'!K$4:K$200,"In Progress"))</f>
        <v/>
      </c>
      <c r="E35" s="96">
        <f>IF($B$3="All",COUNTIFS('Monthly Activity Log'!H$4:H$200,"PetroSA Ghana",'Monthly Activity Log'!C$4:C$200,"Lindiwe",'Monthly Activity Log'!K$4:K$200,"Pending"),COUNTIFS('Monthly Activity Log'!B$4:B$200,$B$3,'Monthly Activity Log'!H$4:H$200,"PetroSA Ghana",'Monthly Activity Log'!C$4:C$200,"Lindiwe",'Monthly Activity Log'!K$4:K$200,"Pending"))</f>
        <v/>
      </c>
      <c r="F35" s="97">
        <f>IFERROR(C35/B35,0)</f>
        <v/>
      </c>
      <c r="G35" s="108" t="n"/>
      <c r="H35" s="93" t="n"/>
      <c r="I35" s="93" t="n"/>
      <c r="J35" s="93" t="n"/>
    </row>
    <row r="36" ht="15.75" customHeight="1" s="65">
      <c r="A36" s="81" t="inlineStr">
        <is>
          <t>T A Willems</t>
        </is>
      </c>
      <c r="B36" s="99">
        <f>IF($B$3="All",COUNTIFS('Monthly Activity Log'!H$4:H$200,"PetroSA Ghana",'Monthly Activity Log'!C$4:C$200,"T A Willems"),COUNTIFS('Monthly Activity Log'!B$4:B$200,$B$3,'Monthly Activity Log'!H$4:H$200,"PetroSA Ghana",'Monthly Activity Log'!C$4:C$200,"T A Willems"))</f>
        <v/>
      </c>
      <c r="C36" s="99">
        <f>IF($B$3="All",COUNTIFS('Monthly Activity Log'!H$4:H$200,"PetroSA Ghana",'Monthly Activity Log'!C$4:C$200,"T A Willems",'Monthly Activity Log'!K$4:K$200,"Completed"),COUNTIFS('Monthly Activity Log'!B$4:B$200,$B$3,'Monthly Activity Log'!H$4:H$200,"PetroSA Ghana",'Monthly Activity Log'!C$4:C$200,"T A Willems",'Monthly Activity Log'!K$4:K$200,"Completed"))</f>
        <v/>
      </c>
      <c r="D36" s="99">
        <f>IF($B$3="All",COUNTIFS('Monthly Activity Log'!H$4:H$200,"PetroSA Ghana",'Monthly Activity Log'!C$4:C$200,"T A Willems",'Monthly Activity Log'!K$4:K$200,"In Progress"),COUNTIFS('Monthly Activity Log'!B$4:B$200,$B$3,'Monthly Activity Log'!H$4:H$200,"PetroSA Ghana",'Monthly Activity Log'!C$4:C$200,"T A Willems",'Monthly Activity Log'!K$4:K$200,"In Progress"))</f>
        <v/>
      </c>
      <c r="E36" s="99">
        <f>IF($B$3="All",COUNTIFS('Monthly Activity Log'!H$4:H$200,"PetroSA Ghana",'Monthly Activity Log'!C$4:C$200,"T A Willems",'Monthly Activity Log'!K$4:K$200,"Pending"),COUNTIFS('Monthly Activity Log'!B$4:B$200,$B$3,'Monthly Activity Log'!H$4:H$200,"PetroSA Ghana",'Monthly Activity Log'!C$4:C$200,"T A Willems",'Monthly Activity Log'!K$4:K$200,"Pending"))</f>
        <v/>
      </c>
      <c r="F36" s="100">
        <f>IFERROR(C36/B36,0)</f>
        <v/>
      </c>
      <c r="G36" s="109" t="n"/>
      <c r="H36" s="93" t="n"/>
      <c r="I36" s="93" t="n"/>
      <c r="J36" s="93" t="n"/>
    </row>
    <row r="37" ht="15.75" customHeight="1" s="65">
      <c r="A37" s="79" t="inlineStr">
        <is>
          <t>Mphatheleni Matidze</t>
        </is>
      </c>
      <c r="B37" s="96">
        <f>IF($B$3="All",COUNTIFS('Monthly Activity Log'!H$4:H$200,"PetroSA Ghana",'Monthly Activity Log'!C$4:C$200,"Mphatheleni Matidze"),COUNTIFS('Monthly Activity Log'!B$4:B$200,$B$3,'Monthly Activity Log'!H$4:H$200,"PetroSA Ghana",'Monthly Activity Log'!C$4:C$200,"Mphatheleni Matidze"))</f>
        <v/>
      </c>
      <c r="C37" s="96">
        <f>IF($B$3="All",COUNTIFS('Monthly Activity Log'!H$4:H$200,"PetroSA Ghana",'Monthly Activity Log'!C$4:C$200,"Mphatheleni Matidze",'Monthly Activity Log'!K$4:K$200,"Completed"),COUNTIFS('Monthly Activity Log'!B$4:B$200,$B$3,'Monthly Activity Log'!H$4:H$200,"PetroSA Ghana",'Monthly Activity Log'!C$4:C$200,"Mphatheleni Matidze",'Monthly Activity Log'!K$4:K$200,"Completed"))</f>
        <v/>
      </c>
      <c r="D37" s="96">
        <f>IF($B$3="All",COUNTIFS('Monthly Activity Log'!H$4:H$200,"PetroSA Ghana",'Monthly Activity Log'!C$4:C$200,"Mphatheleni Matidze",'Monthly Activity Log'!K$4:K$200,"In Progress"),COUNTIFS('Monthly Activity Log'!B$4:B$200,$B$3,'Monthly Activity Log'!H$4:H$200,"PetroSA Ghana",'Monthly Activity Log'!C$4:C$200,"Mphatheleni Matidze",'Monthly Activity Log'!K$4:K$200,"In Progress"))</f>
        <v/>
      </c>
      <c r="E37" s="96">
        <f>IF($B$3="All",COUNTIFS('Monthly Activity Log'!H$4:H$200,"PetroSA Ghana",'Monthly Activity Log'!C$4:C$200,"Mphatheleni Matidze",'Monthly Activity Log'!K$4:K$200,"Pending"),COUNTIFS('Monthly Activity Log'!B$4:B$200,$B$3,'Monthly Activity Log'!H$4:H$200,"PetroSA Ghana",'Monthly Activity Log'!C$4:C$200,"Mphatheleni Matidze",'Monthly Activity Log'!K$4:K$200,"Pending"))</f>
        <v/>
      </c>
      <c r="F37" s="97">
        <f>IFERROR(C37/B37,0)</f>
        <v/>
      </c>
      <c r="G37" s="108" t="n"/>
      <c r="H37" s="93" t="n"/>
      <c r="I37" s="93" t="n"/>
      <c r="J37" s="93" t="n"/>
    </row>
    <row r="39" ht="18" customHeight="1" s="65">
      <c r="A39" s="106" t="inlineStr">
        <is>
          <t xml:space="preserve">  Legacy/CEF</t>
        </is>
      </c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</row>
    <row r="40" ht="19.5" customHeight="1" s="65">
      <c r="A40" s="94" t="inlineStr">
        <is>
          <t>Team Member</t>
        </is>
      </c>
      <c r="B40" s="94" t="inlineStr">
        <is>
          <t>Total</t>
        </is>
      </c>
      <c r="C40" s="94" t="inlineStr">
        <is>
          <t>Completed</t>
        </is>
      </c>
      <c r="D40" s="94" t="inlineStr">
        <is>
          <t>In Progress</t>
        </is>
      </c>
      <c r="E40" s="94" t="inlineStr">
        <is>
          <t>Pending</t>
        </is>
      </c>
      <c r="F40" s="94" t="inlineStr">
        <is>
          <t>% Done</t>
        </is>
      </c>
      <c r="G40" s="107" t="n"/>
      <c r="H40" s="93" t="n"/>
      <c r="I40" s="93" t="n"/>
      <c r="J40" s="93" t="n"/>
    </row>
    <row r="41" ht="15.75" customHeight="1" s="65">
      <c r="A41" s="79" t="inlineStr">
        <is>
          <t>Shennaz</t>
        </is>
      </c>
      <c r="B41" s="96">
        <f>IF($B$3="All",COUNTIFS('Monthly Activity Log'!H$4:H$200,"Legacy/CEF",'Monthly Activity Log'!C$4:C$200,"Shennaz"),COUNTIFS('Monthly Activity Log'!B$4:B$200,$B$3,'Monthly Activity Log'!H$4:H$200,"Legacy/CEF",'Monthly Activity Log'!C$4:C$200,"Shennaz"))</f>
        <v/>
      </c>
      <c r="C41" s="96">
        <f>IF($B$3="All",COUNTIFS('Monthly Activity Log'!H$4:H$200,"Legacy/CEF",'Monthly Activity Log'!C$4:C$200,"Shennaz",'Monthly Activity Log'!K$4:K$200,"Completed"),COUNTIFS('Monthly Activity Log'!B$4:B$200,$B$3,'Monthly Activity Log'!H$4:H$200,"Legacy/CEF",'Monthly Activity Log'!C$4:C$200,"Shennaz",'Monthly Activity Log'!K$4:K$200,"Completed"))</f>
        <v/>
      </c>
      <c r="D41" s="96">
        <f>IF($B$3="All",COUNTIFS('Monthly Activity Log'!H$4:H$200,"Legacy/CEF",'Monthly Activity Log'!C$4:C$200,"Shennaz",'Monthly Activity Log'!K$4:K$200,"In Progress"),COUNTIFS('Monthly Activity Log'!B$4:B$200,$B$3,'Monthly Activity Log'!H$4:H$200,"Legacy/CEF",'Monthly Activity Log'!C$4:C$200,"Shennaz",'Monthly Activity Log'!K$4:K$200,"In Progress"))</f>
        <v/>
      </c>
      <c r="E41" s="96">
        <f>IF($B$3="All",COUNTIFS('Monthly Activity Log'!H$4:H$200,"Legacy/CEF",'Monthly Activity Log'!C$4:C$200,"Shennaz",'Monthly Activity Log'!K$4:K$200,"Pending"),COUNTIFS('Monthly Activity Log'!B$4:B$200,$B$3,'Monthly Activity Log'!H$4:H$200,"Legacy/CEF",'Monthly Activity Log'!C$4:C$200,"Shennaz",'Monthly Activity Log'!K$4:K$200,"Pending"))</f>
        <v/>
      </c>
      <c r="F41" s="97">
        <f>IFERROR(C41/B41,0)</f>
        <v/>
      </c>
      <c r="G41" s="108" t="n"/>
      <c r="H41" s="93" t="n"/>
      <c r="I41" s="93" t="n"/>
      <c r="J41" s="93" t="n"/>
    </row>
    <row r="42" ht="15.75" customHeight="1" s="65">
      <c r="A42" s="81" t="inlineStr">
        <is>
          <t>Nyameka</t>
        </is>
      </c>
      <c r="B42" s="99">
        <f>IF($B$3="All",COUNTIFS('Monthly Activity Log'!H$4:H$200,"Legacy/CEF",'Monthly Activity Log'!C$4:C$200,"Nyameka"),COUNTIFS('Monthly Activity Log'!B$4:B$200,$B$3,'Monthly Activity Log'!H$4:H$200,"Legacy/CEF",'Monthly Activity Log'!C$4:C$200,"Nyameka"))</f>
        <v/>
      </c>
      <c r="C42" s="99">
        <f>IF($B$3="All",COUNTIFS('Monthly Activity Log'!H$4:H$200,"Legacy/CEF",'Monthly Activity Log'!C$4:C$200,"Nyameka",'Monthly Activity Log'!K$4:K$200,"Completed"),COUNTIFS('Monthly Activity Log'!B$4:B$200,$B$3,'Monthly Activity Log'!H$4:H$200,"Legacy/CEF",'Monthly Activity Log'!C$4:C$200,"Nyameka",'Monthly Activity Log'!K$4:K$200,"Completed"))</f>
        <v/>
      </c>
      <c r="D42" s="99">
        <f>IF($B$3="All",COUNTIFS('Monthly Activity Log'!H$4:H$200,"Legacy/CEF",'Monthly Activity Log'!C$4:C$200,"Nyameka",'Monthly Activity Log'!K$4:K$200,"In Progress"),COUNTIFS('Monthly Activity Log'!B$4:B$200,$B$3,'Monthly Activity Log'!H$4:H$200,"Legacy/CEF",'Monthly Activity Log'!C$4:C$200,"Nyameka",'Monthly Activity Log'!K$4:K$200,"In Progress"))</f>
        <v/>
      </c>
      <c r="E42" s="99">
        <f>IF($B$3="All",COUNTIFS('Monthly Activity Log'!H$4:H$200,"Legacy/CEF",'Monthly Activity Log'!C$4:C$200,"Nyameka",'Monthly Activity Log'!K$4:K$200,"Pending"),COUNTIFS('Monthly Activity Log'!B$4:B$200,$B$3,'Monthly Activity Log'!H$4:H$200,"Legacy/CEF",'Monthly Activity Log'!C$4:C$200,"Nyameka",'Monthly Activity Log'!K$4:K$200,"Pending"))</f>
        <v/>
      </c>
      <c r="F42" s="100">
        <f>IFERROR(C42/B42,0)</f>
        <v/>
      </c>
      <c r="G42" s="109" t="n"/>
      <c r="H42" s="93" t="n"/>
      <c r="I42" s="93" t="n"/>
      <c r="J42" s="93" t="n"/>
    </row>
    <row r="43" ht="15.75" customHeight="1" s="65">
      <c r="A43" s="79" t="inlineStr">
        <is>
          <t>Lindiwe</t>
        </is>
      </c>
      <c r="B43" s="96">
        <f>IF($B$3="All",COUNTIFS('Monthly Activity Log'!H$4:H$200,"Legacy/CEF",'Monthly Activity Log'!C$4:C$200,"Lindiwe"),COUNTIFS('Monthly Activity Log'!B$4:B$200,$B$3,'Monthly Activity Log'!H$4:H$200,"Legacy/CEF",'Monthly Activity Log'!C$4:C$200,"Lindiwe"))</f>
        <v/>
      </c>
      <c r="C43" s="96">
        <f>IF($B$3="All",COUNTIFS('Monthly Activity Log'!H$4:H$200,"Legacy/CEF",'Monthly Activity Log'!C$4:C$200,"Lindiwe",'Monthly Activity Log'!K$4:K$200,"Completed"),COUNTIFS('Monthly Activity Log'!B$4:B$200,$B$3,'Monthly Activity Log'!H$4:H$200,"Legacy/CEF",'Monthly Activity Log'!C$4:C$200,"Lindiwe",'Monthly Activity Log'!K$4:K$200,"Completed"))</f>
        <v/>
      </c>
      <c r="D43" s="96">
        <f>IF($B$3="All",COUNTIFS('Monthly Activity Log'!H$4:H$200,"Legacy/CEF",'Monthly Activity Log'!C$4:C$200,"Lindiwe",'Monthly Activity Log'!K$4:K$200,"In Progress"),COUNTIFS('Monthly Activity Log'!B$4:B$200,$B$3,'Monthly Activity Log'!H$4:H$200,"Legacy/CEF",'Monthly Activity Log'!C$4:C$200,"Lindiwe",'Monthly Activity Log'!K$4:K$200,"In Progress"))</f>
        <v/>
      </c>
      <c r="E43" s="96">
        <f>IF($B$3="All",COUNTIFS('Monthly Activity Log'!H$4:H$200,"Legacy/CEF",'Monthly Activity Log'!C$4:C$200,"Lindiwe",'Monthly Activity Log'!K$4:K$200,"Pending"),COUNTIFS('Monthly Activity Log'!B$4:B$200,$B$3,'Monthly Activity Log'!H$4:H$200,"Legacy/CEF",'Monthly Activity Log'!C$4:C$200,"Lindiwe",'Monthly Activity Log'!K$4:K$200,"Pending"))</f>
        <v/>
      </c>
      <c r="F43" s="97">
        <f>IFERROR(C43/B43,0)</f>
        <v/>
      </c>
      <c r="G43" s="108" t="n"/>
      <c r="H43" s="93" t="n"/>
      <c r="I43" s="93" t="n"/>
      <c r="J43" s="93" t="n"/>
    </row>
    <row r="44" ht="15.75" customHeight="1" s="65">
      <c r="A44" s="81" t="inlineStr">
        <is>
          <t>T A Willems</t>
        </is>
      </c>
      <c r="B44" s="99">
        <f>IF($B$3="All",COUNTIFS('Monthly Activity Log'!H$4:H$200,"Legacy/CEF",'Monthly Activity Log'!C$4:C$200,"T A Willems"),COUNTIFS('Monthly Activity Log'!B$4:B$200,$B$3,'Monthly Activity Log'!H$4:H$200,"Legacy/CEF",'Monthly Activity Log'!C$4:C$200,"T A Willems"))</f>
        <v/>
      </c>
      <c r="C44" s="99">
        <f>IF($B$3="All",COUNTIFS('Monthly Activity Log'!H$4:H$200,"Legacy/CEF",'Monthly Activity Log'!C$4:C$200,"T A Willems",'Monthly Activity Log'!K$4:K$200,"Completed"),COUNTIFS('Monthly Activity Log'!B$4:B$200,$B$3,'Monthly Activity Log'!H$4:H$200,"Legacy/CEF",'Monthly Activity Log'!C$4:C$200,"T A Willems",'Monthly Activity Log'!K$4:K$200,"Completed"))</f>
        <v/>
      </c>
      <c r="D44" s="99">
        <f>IF($B$3="All",COUNTIFS('Monthly Activity Log'!H$4:H$200,"Legacy/CEF",'Monthly Activity Log'!C$4:C$200,"T A Willems",'Monthly Activity Log'!K$4:K$200,"In Progress"),COUNTIFS('Monthly Activity Log'!B$4:B$200,$B$3,'Monthly Activity Log'!H$4:H$200,"Legacy/CEF",'Monthly Activity Log'!C$4:C$200,"T A Willems",'Monthly Activity Log'!K$4:K$200,"In Progress"))</f>
        <v/>
      </c>
      <c r="E44" s="99">
        <f>IF($B$3="All",COUNTIFS('Monthly Activity Log'!H$4:H$200,"Legacy/CEF",'Monthly Activity Log'!C$4:C$200,"T A Willems",'Monthly Activity Log'!K$4:K$200,"Pending"),COUNTIFS('Monthly Activity Log'!B$4:B$200,$B$3,'Monthly Activity Log'!H$4:H$200,"Legacy/CEF",'Monthly Activity Log'!C$4:C$200,"T A Willems",'Monthly Activity Log'!K$4:K$200,"Pending"))</f>
        <v/>
      </c>
      <c r="F44" s="100">
        <f>IFERROR(C44/B44,0)</f>
        <v/>
      </c>
      <c r="G44" s="109" t="n"/>
      <c r="H44" s="93" t="n"/>
      <c r="I44" s="93" t="n"/>
      <c r="J44" s="93" t="n"/>
    </row>
    <row r="45" ht="15.75" customHeight="1" s="65">
      <c r="A45" s="79" t="inlineStr">
        <is>
          <t>Mphatheleni Matidze</t>
        </is>
      </c>
      <c r="B45" s="96">
        <f>IF($B$3="All",COUNTIFS('Monthly Activity Log'!H$4:H$200,"Legacy/CEF",'Monthly Activity Log'!C$4:C$200,"Mphatheleni Matidze"),COUNTIFS('Monthly Activity Log'!B$4:B$200,$B$3,'Monthly Activity Log'!H$4:H$200,"Legacy/CEF",'Monthly Activity Log'!C$4:C$200,"Mphatheleni Matidze"))</f>
        <v/>
      </c>
      <c r="C45" s="96">
        <f>IF($B$3="All",COUNTIFS('Monthly Activity Log'!H$4:H$200,"Legacy/CEF",'Monthly Activity Log'!C$4:C$200,"Mphatheleni Matidze",'Monthly Activity Log'!K$4:K$200,"Completed"),COUNTIFS('Monthly Activity Log'!B$4:B$200,$B$3,'Monthly Activity Log'!H$4:H$200,"Legacy/CEF",'Monthly Activity Log'!C$4:C$200,"Mphatheleni Matidze",'Monthly Activity Log'!K$4:K$200,"Completed"))</f>
        <v/>
      </c>
      <c r="D45" s="96">
        <f>IF($B$3="All",COUNTIFS('Monthly Activity Log'!H$4:H$200,"Legacy/CEF",'Monthly Activity Log'!C$4:C$200,"Mphatheleni Matidze",'Monthly Activity Log'!K$4:K$200,"In Progress"),COUNTIFS('Monthly Activity Log'!B$4:B$200,$B$3,'Monthly Activity Log'!H$4:H$200,"Legacy/CEF",'Monthly Activity Log'!C$4:C$200,"Mphatheleni Matidze",'Monthly Activity Log'!K$4:K$200,"In Progress"))</f>
        <v/>
      </c>
      <c r="E45" s="96">
        <f>IF($B$3="All",COUNTIFS('Monthly Activity Log'!H$4:H$200,"Legacy/CEF",'Monthly Activity Log'!C$4:C$200,"Mphatheleni Matidze",'Monthly Activity Log'!K$4:K$200,"Pending"),COUNTIFS('Monthly Activity Log'!B$4:B$200,$B$3,'Monthly Activity Log'!H$4:H$200,"Legacy/CEF",'Monthly Activity Log'!C$4:C$200,"Mphatheleni Matidze",'Monthly Activity Log'!K$4:K$200,"Pending"))</f>
        <v/>
      </c>
      <c r="F45" s="97">
        <f>IFERROR(C45/B45,0)</f>
        <v/>
      </c>
      <c r="G45" s="108" t="n"/>
      <c r="H45" s="93" t="n"/>
      <c r="I45" s="93" t="n"/>
      <c r="J45" s="93" t="n"/>
    </row>
    <row r="47" ht="18" customHeight="1" s="65">
      <c r="A47" s="106" t="inlineStr">
        <is>
          <t xml:space="preserve">  SANPC/SFF</t>
        </is>
      </c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</row>
    <row r="48" ht="19.5" customHeight="1" s="65">
      <c r="A48" s="94" t="inlineStr">
        <is>
          <t>Team Member</t>
        </is>
      </c>
      <c r="B48" s="94" t="inlineStr">
        <is>
          <t>Total</t>
        </is>
      </c>
      <c r="C48" s="94" t="inlineStr">
        <is>
          <t>Completed</t>
        </is>
      </c>
      <c r="D48" s="94" t="inlineStr">
        <is>
          <t>In Progress</t>
        </is>
      </c>
      <c r="E48" s="94" t="inlineStr">
        <is>
          <t>Pending</t>
        </is>
      </c>
      <c r="F48" s="94" t="inlineStr">
        <is>
          <t>% Done</t>
        </is>
      </c>
      <c r="G48" s="107" t="n"/>
      <c r="H48" s="93" t="n"/>
      <c r="I48" s="93" t="n"/>
      <c r="J48" s="93" t="n"/>
    </row>
    <row r="49" ht="15.75" customHeight="1" s="65">
      <c r="A49" s="79" t="inlineStr">
        <is>
          <t>Shennaz</t>
        </is>
      </c>
      <c r="B49" s="96">
        <f>IF($B$3="All",COUNTIFS('Monthly Activity Log'!H$4:H$200,"SANPC/SFF",'Monthly Activity Log'!C$4:C$200,"Shennaz"),COUNTIFS('Monthly Activity Log'!B$4:B$200,$B$3,'Monthly Activity Log'!H$4:H$200,"SANPC/SFF",'Monthly Activity Log'!C$4:C$200,"Shennaz"))</f>
        <v/>
      </c>
      <c r="C49" s="96">
        <f>IF($B$3="All",COUNTIFS('Monthly Activity Log'!H$4:H$200,"SANPC/SFF",'Monthly Activity Log'!C$4:C$200,"Shennaz",'Monthly Activity Log'!K$4:K$200,"Completed"),COUNTIFS('Monthly Activity Log'!B$4:B$200,$B$3,'Monthly Activity Log'!H$4:H$200,"SANPC/SFF",'Monthly Activity Log'!C$4:C$200,"Shennaz",'Monthly Activity Log'!K$4:K$200,"Completed"))</f>
        <v/>
      </c>
      <c r="D49" s="96">
        <f>IF($B$3="All",COUNTIFS('Monthly Activity Log'!H$4:H$200,"SANPC/SFF",'Monthly Activity Log'!C$4:C$200,"Shennaz",'Monthly Activity Log'!K$4:K$200,"In Progress"),COUNTIFS('Monthly Activity Log'!B$4:B$200,$B$3,'Monthly Activity Log'!H$4:H$200,"SANPC/SFF",'Monthly Activity Log'!C$4:C$200,"Shennaz",'Monthly Activity Log'!K$4:K$200,"In Progress"))</f>
        <v/>
      </c>
      <c r="E49" s="96">
        <f>IF($B$3="All",COUNTIFS('Monthly Activity Log'!H$4:H$200,"SANPC/SFF",'Monthly Activity Log'!C$4:C$200,"Shennaz",'Monthly Activity Log'!K$4:K$200,"Pending"),COUNTIFS('Monthly Activity Log'!B$4:B$200,$B$3,'Monthly Activity Log'!H$4:H$200,"SANPC/SFF",'Monthly Activity Log'!C$4:C$200,"Shennaz",'Monthly Activity Log'!K$4:K$200,"Pending"))</f>
        <v/>
      </c>
      <c r="F49" s="97">
        <f>IFERROR(C49/B49,0)</f>
        <v/>
      </c>
      <c r="G49" s="108" t="n"/>
      <c r="H49" s="93" t="n"/>
      <c r="I49" s="93" t="n"/>
      <c r="J49" s="93" t="n"/>
    </row>
    <row r="50" ht="15.75" customHeight="1" s="65">
      <c r="A50" s="81" t="inlineStr">
        <is>
          <t>Nyameka</t>
        </is>
      </c>
      <c r="B50" s="99">
        <f>IF($B$3="All",COUNTIFS('Monthly Activity Log'!H$4:H$200,"SANPC/SFF",'Monthly Activity Log'!C$4:C$200,"Nyameka"),COUNTIFS('Monthly Activity Log'!B$4:B$200,$B$3,'Monthly Activity Log'!H$4:H$200,"SANPC/SFF",'Monthly Activity Log'!C$4:C$200,"Nyameka"))</f>
        <v/>
      </c>
      <c r="C50" s="99">
        <f>IF($B$3="All",COUNTIFS('Monthly Activity Log'!H$4:H$200,"SANPC/SFF",'Monthly Activity Log'!C$4:C$200,"Nyameka",'Monthly Activity Log'!K$4:K$200,"Completed"),COUNTIFS('Monthly Activity Log'!B$4:B$200,$B$3,'Monthly Activity Log'!H$4:H$200,"SANPC/SFF",'Monthly Activity Log'!C$4:C$200,"Nyameka",'Monthly Activity Log'!K$4:K$200,"Completed"))</f>
        <v/>
      </c>
      <c r="D50" s="99">
        <f>IF($B$3="All",COUNTIFS('Monthly Activity Log'!H$4:H$200,"SANPC/SFF",'Monthly Activity Log'!C$4:C$200,"Nyameka",'Monthly Activity Log'!K$4:K$200,"In Progress"),COUNTIFS('Monthly Activity Log'!B$4:B$200,$B$3,'Monthly Activity Log'!H$4:H$200,"SANPC/SFF",'Monthly Activity Log'!C$4:C$200,"Nyameka",'Monthly Activity Log'!K$4:K$200,"In Progress"))</f>
        <v/>
      </c>
      <c r="E50" s="99">
        <f>IF($B$3="All",COUNTIFS('Monthly Activity Log'!H$4:H$200,"SANPC/SFF",'Monthly Activity Log'!C$4:C$200,"Nyameka",'Monthly Activity Log'!K$4:K$200,"Pending"),COUNTIFS('Monthly Activity Log'!B$4:B$200,$B$3,'Monthly Activity Log'!H$4:H$200,"SANPC/SFF",'Monthly Activity Log'!C$4:C$200,"Nyameka",'Monthly Activity Log'!K$4:K$200,"Pending"))</f>
        <v/>
      </c>
      <c r="F50" s="100">
        <f>IFERROR(C50/B50,0)</f>
        <v/>
      </c>
      <c r="G50" s="109" t="n"/>
      <c r="H50" s="93" t="n"/>
      <c r="I50" s="93" t="n"/>
      <c r="J50" s="93" t="n"/>
    </row>
    <row r="51" ht="15.75" customHeight="1" s="65">
      <c r="A51" s="79" t="inlineStr">
        <is>
          <t>Lindiwe</t>
        </is>
      </c>
      <c r="B51" s="96">
        <f>IF($B$3="All",COUNTIFS('Monthly Activity Log'!H$4:H$200,"SANPC/SFF",'Monthly Activity Log'!C$4:C$200,"Lindiwe"),COUNTIFS('Monthly Activity Log'!B$4:B$200,$B$3,'Monthly Activity Log'!H$4:H$200,"SANPC/SFF",'Monthly Activity Log'!C$4:C$200,"Lindiwe"))</f>
        <v/>
      </c>
      <c r="C51" s="96">
        <f>IF($B$3="All",COUNTIFS('Monthly Activity Log'!H$4:H$200,"SANPC/SFF",'Monthly Activity Log'!C$4:C$200,"Lindiwe",'Monthly Activity Log'!K$4:K$200,"Completed"),COUNTIFS('Monthly Activity Log'!B$4:B$200,$B$3,'Monthly Activity Log'!H$4:H$200,"SANPC/SFF",'Monthly Activity Log'!C$4:C$200,"Lindiwe",'Monthly Activity Log'!K$4:K$200,"Completed"))</f>
        <v/>
      </c>
      <c r="D51" s="96">
        <f>IF($B$3="All",COUNTIFS('Monthly Activity Log'!H$4:H$200,"SANPC/SFF",'Monthly Activity Log'!C$4:C$200,"Lindiwe",'Monthly Activity Log'!K$4:K$200,"In Progress"),COUNTIFS('Monthly Activity Log'!B$4:B$200,$B$3,'Monthly Activity Log'!H$4:H$200,"SANPC/SFF",'Monthly Activity Log'!C$4:C$200,"Lindiwe",'Monthly Activity Log'!K$4:K$200,"In Progress"))</f>
        <v/>
      </c>
      <c r="E51" s="96">
        <f>IF($B$3="All",COUNTIFS('Monthly Activity Log'!H$4:H$200,"SANPC/SFF",'Monthly Activity Log'!C$4:C$200,"Lindiwe",'Monthly Activity Log'!K$4:K$200,"Pending"),COUNTIFS('Monthly Activity Log'!B$4:B$200,$B$3,'Monthly Activity Log'!H$4:H$200,"SANPC/SFF",'Monthly Activity Log'!C$4:C$200,"Lindiwe",'Monthly Activity Log'!K$4:K$200,"Pending"))</f>
        <v/>
      </c>
      <c r="F51" s="97">
        <f>IFERROR(C51/B51,0)</f>
        <v/>
      </c>
      <c r="G51" s="108" t="n"/>
      <c r="H51" s="93" t="n"/>
      <c r="I51" s="93" t="n"/>
      <c r="J51" s="93" t="n"/>
    </row>
    <row r="52" ht="15.75" customHeight="1" s="65">
      <c r="A52" s="81" t="inlineStr">
        <is>
          <t>T A Willems</t>
        </is>
      </c>
      <c r="B52" s="99">
        <f>IF($B$3="All",COUNTIFS('Monthly Activity Log'!H$4:H$200,"SANPC/SFF",'Monthly Activity Log'!C$4:C$200,"T A Willems"),COUNTIFS('Monthly Activity Log'!B$4:B$200,$B$3,'Monthly Activity Log'!H$4:H$200,"SANPC/SFF",'Monthly Activity Log'!C$4:C$200,"T A Willems"))</f>
        <v/>
      </c>
      <c r="C52" s="99">
        <f>IF($B$3="All",COUNTIFS('Monthly Activity Log'!H$4:H$200,"SANPC/SFF",'Monthly Activity Log'!C$4:C$200,"T A Willems",'Monthly Activity Log'!K$4:K$200,"Completed"),COUNTIFS('Monthly Activity Log'!B$4:B$200,$B$3,'Monthly Activity Log'!H$4:H$200,"SANPC/SFF",'Monthly Activity Log'!C$4:C$200,"T A Willems",'Monthly Activity Log'!K$4:K$200,"Completed"))</f>
        <v/>
      </c>
      <c r="D52" s="99">
        <f>IF($B$3="All",COUNTIFS('Monthly Activity Log'!H$4:H$200,"SANPC/SFF",'Monthly Activity Log'!C$4:C$200,"T A Willems",'Monthly Activity Log'!K$4:K$200,"In Progress"),COUNTIFS('Monthly Activity Log'!B$4:B$200,$B$3,'Monthly Activity Log'!H$4:H$200,"SANPC/SFF",'Monthly Activity Log'!C$4:C$200,"T A Willems",'Monthly Activity Log'!K$4:K$200,"In Progress"))</f>
        <v/>
      </c>
      <c r="E52" s="99">
        <f>IF($B$3="All",COUNTIFS('Monthly Activity Log'!H$4:H$200,"SANPC/SFF",'Monthly Activity Log'!C$4:C$200,"T A Willems",'Monthly Activity Log'!K$4:K$200,"Pending"),COUNTIFS('Monthly Activity Log'!B$4:B$200,$B$3,'Monthly Activity Log'!H$4:H$200,"SANPC/SFF",'Monthly Activity Log'!C$4:C$200,"T A Willems",'Monthly Activity Log'!K$4:K$200,"Pending"))</f>
        <v/>
      </c>
      <c r="F52" s="100">
        <f>IFERROR(C52/B52,0)</f>
        <v/>
      </c>
      <c r="G52" s="109" t="n"/>
      <c r="H52" s="93" t="n"/>
      <c r="I52" s="93" t="n"/>
      <c r="J52" s="93" t="n"/>
    </row>
    <row r="53" ht="15.75" customHeight="1" s="65">
      <c r="A53" s="79" t="inlineStr">
        <is>
          <t>Mphatheleni Matidze</t>
        </is>
      </c>
      <c r="B53" s="96">
        <f>IF($B$3="All",COUNTIFS('Monthly Activity Log'!H$4:H$200,"SANPC/SFF",'Monthly Activity Log'!C$4:C$200,"Mphatheleni Matidze"),COUNTIFS('Monthly Activity Log'!B$4:B$200,$B$3,'Monthly Activity Log'!H$4:H$200,"SANPC/SFF",'Monthly Activity Log'!C$4:C$200,"Mphatheleni Matidze"))</f>
        <v/>
      </c>
      <c r="C53" s="96">
        <f>IF($B$3="All",COUNTIFS('Monthly Activity Log'!H$4:H$200,"SANPC/SFF",'Monthly Activity Log'!C$4:C$200,"Mphatheleni Matidze",'Monthly Activity Log'!K$4:K$200,"Completed"),COUNTIFS('Monthly Activity Log'!B$4:B$200,$B$3,'Monthly Activity Log'!H$4:H$200,"SANPC/SFF",'Monthly Activity Log'!C$4:C$200,"Mphatheleni Matidze",'Monthly Activity Log'!K$4:K$200,"Completed"))</f>
        <v/>
      </c>
      <c r="D53" s="96">
        <f>IF($B$3="All",COUNTIFS('Monthly Activity Log'!H$4:H$200,"SANPC/SFF",'Monthly Activity Log'!C$4:C$200,"Mphatheleni Matidze",'Monthly Activity Log'!K$4:K$200,"In Progress"),COUNTIFS('Monthly Activity Log'!B$4:B$200,$B$3,'Monthly Activity Log'!H$4:H$200,"SANPC/SFF",'Monthly Activity Log'!C$4:C$200,"Mphatheleni Matidze",'Monthly Activity Log'!K$4:K$200,"In Progress"))</f>
        <v/>
      </c>
      <c r="E53" s="96">
        <f>IF($B$3="All",COUNTIFS('Monthly Activity Log'!H$4:H$200,"SANPC/SFF",'Monthly Activity Log'!C$4:C$200,"Mphatheleni Matidze",'Monthly Activity Log'!K$4:K$200,"Pending"),COUNTIFS('Monthly Activity Log'!B$4:B$200,$B$3,'Monthly Activity Log'!H$4:H$200,"SANPC/SFF",'Monthly Activity Log'!C$4:C$200,"Mphatheleni Matidze",'Monthly Activity Log'!K$4:K$200,"Pending"))</f>
        <v/>
      </c>
      <c r="F53" s="97">
        <f>IFERROR(C53/B53,0)</f>
        <v/>
      </c>
      <c r="G53" s="108" t="n"/>
      <c r="H53" s="93" t="n"/>
      <c r="I53" s="93" t="n"/>
      <c r="J53" s="93" t="n"/>
    </row>
    <row r="55" ht="18" customHeight="1" s="65">
      <c r="A55" s="106" t="inlineStr">
        <is>
          <t xml:space="preserve">  PetroSA/SANPC</t>
        </is>
      </c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</row>
    <row r="56" ht="19.5" customHeight="1" s="65">
      <c r="A56" s="94" t="inlineStr">
        <is>
          <t>Team Member</t>
        </is>
      </c>
      <c r="B56" s="94" t="inlineStr">
        <is>
          <t>Total</t>
        </is>
      </c>
      <c r="C56" s="94" t="inlineStr">
        <is>
          <t>Completed</t>
        </is>
      </c>
      <c r="D56" s="94" t="inlineStr">
        <is>
          <t>In Progress</t>
        </is>
      </c>
      <c r="E56" s="94" t="inlineStr">
        <is>
          <t>Pending</t>
        </is>
      </c>
      <c r="F56" s="94" t="inlineStr">
        <is>
          <t>% Done</t>
        </is>
      </c>
      <c r="G56" s="107" t="n"/>
      <c r="H56" s="93" t="n"/>
      <c r="I56" s="93" t="n"/>
      <c r="J56" s="93" t="n"/>
    </row>
    <row r="57" ht="15.75" customHeight="1" s="65">
      <c r="A57" s="79" t="inlineStr">
        <is>
          <t>Shennaz</t>
        </is>
      </c>
      <c r="B57" s="96">
        <f>IF($B$3="All",COUNTIFS('Monthly Activity Log'!H$4:H$200,"PetroSA/SANPC",'Monthly Activity Log'!C$4:C$200,"Shennaz"),COUNTIFS('Monthly Activity Log'!B$4:B$200,$B$3,'Monthly Activity Log'!H$4:H$200,"PetroSA/SANPC",'Monthly Activity Log'!C$4:C$200,"Shennaz"))</f>
        <v/>
      </c>
      <c r="C57" s="96">
        <f>IF($B$3="All",COUNTIFS('Monthly Activity Log'!H$4:H$200,"PetroSA/SANPC",'Monthly Activity Log'!C$4:C$200,"Shennaz",'Monthly Activity Log'!K$4:K$200,"Completed"),COUNTIFS('Monthly Activity Log'!B$4:B$200,$B$3,'Monthly Activity Log'!H$4:H$200,"PetroSA/SANPC",'Monthly Activity Log'!C$4:C$200,"Shennaz",'Monthly Activity Log'!K$4:K$200,"Completed"))</f>
        <v/>
      </c>
      <c r="D57" s="96">
        <f>IF($B$3="All",COUNTIFS('Monthly Activity Log'!H$4:H$200,"PetroSA/SANPC",'Monthly Activity Log'!C$4:C$200,"Shennaz",'Monthly Activity Log'!K$4:K$200,"In Progress"),COUNTIFS('Monthly Activity Log'!B$4:B$200,$B$3,'Monthly Activity Log'!H$4:H$200,"PetroSA/SANPC",'Monthly Activity Log'!C$4:C$200,"Shennaz",'Monthly Activity Log'!K$4:K$200,"In Progress"))</f>
        <v/>
      </c>
      <c r="E57" s="96">
        <f>IF($B$3="All",COUNTIFS('Monthly Activity Log'!H$4:H$200,"PetroSA/SANPC",'Monthly Activity Log'!C$4:C$200,"Shennaz",'Monthly Activity Log'!K$4:K$200,"Pending"),COUNTIFS('Monthly Activity Log'!B$4:B$200,$B$3,'Monthly Activity Log'!H$4:H$200,"PetroSA/SANPC",'Monthly Activity Log'!C$4:C$200,"Shennaz",'Monthly Activity Log'!K$4:K$200,"Pending"))</f>
        <v/>
      </c>
      <c r="F57" s="97">
        <f>IFERROR(C57/B57,0)</f>
        <v/>
      </c>
      <c r="G57" s="108" t="n"/>
      <c r="H57" s="93" t="n"/>
      <c r="I57" s="93" t="n"/>
      <c r="J57" s="93" t="n"/>
    </row>
    <row r="58" ht="15.75" customHeight="1" s="65">
      <c r="A58" s="81" t="inlineStr">
        <is>
          <t>Nyameka</t>
        </is>
      </c>
      <c r="B58" s="99">
        <f>IF($B$3="All",COUNTIFS('Monthly Activity Log'!H$4:H$200,"PetroSA/SANPC",'Monthly Activity Log'!C$4:C$200,"Nyameka"),COUNTIFS('Monthly Activity Log'!B$4:B$200,$B$3,'Monthly Activity Log'!H$4:H$200,"PetroSA/SANPC",'Monthly Activity Log'!C$4:C$200,"Nyameka"))</f>
        <v/>
      </c>
      <c r="C58" s="99">
        <f>IF($B$3="All",COUNTIFS('Monthly Activity Log'!H$4:H$200,"PetroSA/SANPC",'Monthly Activity Log'!C$4:C$200,"Nyameka",'Monthly Activity Log'!K$4:K$200,"Completed"),COUNTIFS('Monthly Activity Log'!B$4:B$200,$B$3,'Monthly Activity Log'!H$4:H$200,"PetroSA/SANPC",'Monthly Activity Log'!C$4:C$200,"Nyameka",'Monthly Activity Log'!K$4:K$200,"Completed"))</f>
        <v/>
      </c>
      <c r="D58" s="99">
        <f>IF($B$3="All",COUNTIFS('Monthly Activity Log'!H$4:H$200,"PetroSA/SANPC",'Monthly Activity Log'!C$4:C$200,"Nyameka",'Monthly Activity Log'!K$4:K$200,"In Progress"),COUNTIFS('Monthly Activity Log'!B$4:B$200,$B$3,'Monthly Activity Log'!H$4:H$200,"PetroSA/SANPC",'Monthly Activity Log'!C$4:C$200,"Nyameka",'Monthly Activity Log'!K$4:K$200,"In Progress"))</f>
        <v/>
      </c>
      <c r="E58" s="99">
        <f>IF($B$3="All",COUNTIFS('Monthly Activity Log'!H$4:H$200,"PetroSA/SANPC",'Monthly Activity Log'!C$4:C$200,"Nyameka",'Monthly Activity Log'!K$4:K$200,"Pending"),COUNTIFS('Monthly Activity Log'!B$4:B$200,$B$3,'Monthly Activity Log'!H$4:H$200,"PetroSA/SANPC",'Monthly Activity Log'!C$4:C$200,"Nyameka",'Monthly Activity Log'!K$4:K$200,"Pending"))</f>
        <v/>
      </c>
      <c r="F58" s="100">
        <f>IFERROR(C58/B58,0)</f>
        <v/>
      </c>
      <c r="G58" s="109" t="n"/>
      <c r="H58" s="93" t="n"/>
      <c r="I58" s="93" t="n"/>
      <c r="J58" s="93" t="n"/>
    </row>
    <row r="59" ht="15.75" customHeight="1" s="65">
      <c r="A59" s="79" t="inlineStr">
        <is>
          <t>Lindiwe</t>
        </is>
      </c>
      <c r="B59" s="96">
        <f>IF($B$3="All",COUNTIFS('Monthly Activity Log'!H$4:H$200,"PetroSA/SANPC",'Monthly Activity Log'!C$4:C$200,"Lindiwe"),COUNTIFS('Monthly Activity Log'!B$4:B$200,$B$3,'Monthly Activity Log'!H$4:H$200,"PetroSA/SANPC",'Monthly Activity Log'!C$4:C$200,"Lindiwe"))</f>
        <v/>
      </c>
      <c r="C59" s="96">
        <f>IF($B$3="All",COUNTIFS('Monthly Activity Log'!H$4:H$200,"PetroSA/SANPC",'Monthly Activity Log'!C$4:C$200,"Lindiwe",'Monthly Activity Log'!K$4:K$200,"Completed"),COUNTIFS('Monthly Activity Log'!B$4:B$200,$B$3,'Monthly Activity Log'!H$4:H$200,"PetroSA/SANPC",'Monthly Activity Log'!C$4:C$200,"Lindiwe",'Monthly Activity Log'!K$4:K$200,"Completed"))</f>
        <v/>
      </c>
      <c r="D59" s="96">
        <f>IF($B$3="All",COUNTIFS('Monthly Activity Log'!H$4:H$200,"PetroSA/SANPC",'Monthly Activity Log'!C$4:C$200,"Lindiwe",'Monthly Activity Log'!K$4:K$200,"In Progress"),COUNTIFS('Monthly Activity Log'!B$4:B$200,$B$3,'Monthly Activity Log'!H$4:H$200,"PetroSA/SANPC",'Monthly Activity Log'!C$4:C$200,"Lindiwe",'Monthly Activity Log'!K$4:K$200,"In Progress"))</f>
        <v/>
      </c>
      <c r="E59" s="96">
        <f>IF($B$3="All",COUNTIFS('Monthly Activity Log'!H$4:H$200,"PetroSA/SANPC",'Monthly Activity Log'!C$4:C$200,"Lindiwe",'Monthly Activity Log'!K$4:K$200,"Pending"),COUNTIFS('Monthly Activity Log'!B$4:B$200,$B$3,'Monthly Activity Log'!H$4:H$200,"PetroSA/SANPC",'Monthly Activity Log'!C$4:C$200,"Lindiwe",'Monthly Activity Log'!K$4:K$200,"Pending"))</f>
        <v/>
      </c>
      <c r="F59" s="97">
        <f>IFERROR(C59/B59,0)</f>
        <v/>
      </c>
      <c r="G59" s="108" t="n"/>
      <c r="H59" s="93" t="n"/>
      <c r="I59" s="93" t="n"/>
      <c r="J59" s="93" t="n"/>
    </row>
    <row r="60" ht="15.75" customHeight="1" s="65">
      <c r="A60" s="81" t="inlineStr">
        <is>
          <t>T A Willems</t>
        </is>
      </c>
      <c r="B60" s="99">
        <f>IF($B$3="All",COUNTIFS('Monthly Activity Log'!H$4:H$200,"PetroSA/SANPC",'Monthly Activity Log'!C$4:C$200,"T A Willems"),COUNTIFS('Monthly Activity Log'!B$4:B$200,$B$3,'Monthly Activity Log'!H$4:H$200,"PetroSA/SANPC",'Monthly Activity Log'!C$4:C$200,"T A Willems"))</f>
        <v/>
      </c>
      <c r="C60" s="99">
        <f>IF($B$3="All",COUNTIFS('Monthly Activity Log'!H$4:H$200,"PetroSA/SANPC",'Monthly Activity Log'!C$4:C$200,"T A Willems",'Monthly Activity Log'!K$4:K$200,"Completed"),COUNTIFS('Monthly Activity Log'!B$4:B$200,$B$3,'Monthly Activity Log'!H$4:H$200,"PetroSA/SANPC",'Monthly Activity Log'!C$4:C$200,"T A Willems",'Monthly Activity Log'!K$4:K$200,"Completed"))</f>
        <v/>
      </c>
      <c r="D60" s="99">
        <f>IF($B$3="All",COUNTIFS('Monthly Activity Log'!H$4:H$200,"PetroSA/SANPC",'Monthly Activity Log'!C$4:C$200,"T A Willems",'Monthly Activity Log'!K$4:K$200,"In Progress"),COUNTIFS('Monthly Activity Log'!B$4:B$200,$B$3,'Monthly Activity Log'!H$4:H$200,"PetroSA/SANPC",'Monthly Activity Log'!C$4:C$200,"T A Willems",'Monthly Activity Log'!K$4:K$200,"In Progress"))</f>
        <v/>
      </c>
      <c r="E60" s="99">
        <f>IF($B$3="All",COUNTIFS('Monthly Activity Log'!H$4:H$200,"PetroSA/SANPC",'Monthly Activity Log'!C$4:C$200,"T A Willems",'Monthly Activity Log'!K$4:K$200,"Pending"),COUNTIFS('Monthly Activity Log'!B$4:B$200,$B$3,'Monthly Activity Log'!H$4:H$200,"PetroSA/SANPC",'Monthly Activity Log'!C$4:C$200,"T A Willems",'Monthly Activity Log'!K$4:K$200,"Pending"))</f>
        <v/>
      </c>
      <c r="F60" s="100">
        <f>IFERROR(C60/B60,0)</f>
        <v/>
      </c>
      <c r="G60" s="109" t="n"/>
      <c r="H60" s="93" t="n"/>
      <c r="I60" s="93" t="n"/>
      <c r="J60" s="93" t="n"/>
    </row>
    <row r="61" ht="15.75" customHeight="1" s="65">
      <c r="A61" s="79" t="inlineStr">
        <is>
          <t>Mphatheleni Matidze</t>
        </is>
      </c>
      <c r="B61" s="96">
        <f>IF($B$3="All",COUNTIFS('Monthly Activity Log'!H$4:H$200,"PetroSA/SANPC",'Monthly Activity Log'!C$4:C$200,"Mphatheleni Matidze"),COUNTIFS('Monthly Activity Log'!B$4:B$200,$B$3,'Monthly Activity Log'!H$4:H$200,"PetroSA/SANPC",'Monthly Activity Log'!C$4:C$200,"Mphatheleni Matidze"))</f>
        <v/>
      </c>
      <c r="C61" s="96">
        <f>IF($B$3="All",COUNTIFS('Monthly Activity Log'!H$4:H$200,"PetroSA/SANPC",'Monthly Activity Log'!C$4:C$200,"Mphatheleni Matidze",'Monthly Activity Log'!K$4:K$200,"Completed"),COUNTIFS('Monthly Activity Log'!B$4:B$200,$B$3,'Monthly Activity Log'!H$4:H$200,"PetroSA/SANPC",'Monthly Activity Log'!C$4:C$200,"Mphatheleni Matidze",'Monthly Activity Log'!K$4:K$200,"Completed"))</f>
        <v/>
      </c>
      <c r="D61" s="96">
        <f>IF($B$3="All",COUNTIFS('Monthly Activity Log'!H$4:H$200,"PetroSA/SANPC",'Monthly Activity Log'!C$4:C$200,"Mphatheleni Matidze",'Monthly Activity Log'!K$4:K$200,"In Progress"),COUNTIFS('Monthly Activity Log'!B$4:B$200,$B$3,'Monthly Activity Log'!H$4:H$200,"PetroSA/SANPC",'Monthly Activity Log'!C$4:C$200,"Mphatheleni Matidze",'Monthly Activity Log'!K$4:K$200,"In Progress"))</f>
        <v/>
      </c>
      <c r="E61" s="96">
        <f>IF($B$3="All",COUNTIFS('Monthly Activity Log'!H$4:H$200,"PetroSA/SANPC",'Monthly Activity Log'!C$4:C$200,"Mphatheleni Matidze",'Monthly Activity Log'!K$4:K$200,"Pending"),COUNTIFS('Monthly Activity Log'!B$4:B$200,$B$3,'Monthly Activity Log'!H$4:H$200,"PetroSA/SANPC",'Monthly Activity Log'!C$4:C$200,"Mphatheleni Matidze",'Monthly Activity Log'!K$4:K$200,"Pending"))</f>
        <v/>
      </c>
      <c r="F61" s="97">
        <f>IFERROR(C61/B61,0)</f>
        <v/>
      </c>
      <c r="G61" s="108" t="n"/>
      <c r="H61" s="93" t="n"/>
      <c r="I61" s="93" t="n"/>
      <c r="J61" s="93" t="n"/>
    </row>
    <row r="63" ht="18" customHeight="1" s="65">
      <c r="A63" s="106" t="inlineStr">
        <is>
          <t xml:space="preserve">  Other</t>
        </is>
      </c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</row>
    <row r="64" ht="19.5" customHeight="1" s="65">
      <c r="A64" s="94" t="inlineStr">
        <is>
          <t>Team Member</t>
        </is>
      </c>
      <c r="B64" s="94" t="inlineStr">
        <is>
          <t>Total</t>
        </is>
      </c>
      <c r="C64" s="94" t="inlineStr">
        <is>
          <t>Completed</t>
        </is>
      </c>
      <c r="D64" s="94" t="inlineStr">
        <is>
          <t>In Progress</t>
        </is>
      </c>
      <c r="E64" s="94" t="inlineStr">
        <is>
          <t>Pending</t>
        </is>
      </c>
      <c r="F64" s="94" t="inlineStr">
        <is>
          <t>% Done</t>
        </is>
      </c>
      <c r="G64" s="107" t="n"/>
      <c r="H64" s="93" t="n"/>
      <c r="I64" s="93" t="n"/>
      <c r="J64" s="93" t="n"/>
    </row>
    <row r="65" ht="15.75" customHeight="1" s="65">
      <c r="A65" s="79" t="inlineStr">
        <is>
          <t>Shennaz</t>
        </is>
      </c>
      <c r="B65" s="96">
        <f>IF($B$3="All",COUNTIFS('Monthly Activity Log'!H$4:H$200,"Other",'Monthly Activity Log'!C$4:C$200,"Shennaz"),COUNTIFS('Monthly Activity Log'!B$4:B$200,$B$3,'Monthly Activity Log'!H$4:H$200,"Other",'Monthly Activity Log'!C$4:C$200,"Shennaz"))</f>
        <v/>
      </c>
      <c r="C65" s="96">
        <f>IF($B$3="All",COUNTIFS('Monthly Activity Log'!H$4:H$200,"Other",'Monthly Activity Log'!C$4:C$200,"Shennaz",'Monthly Activity Log'!K$4:K$200,"Completed"),COUNTIFS('Monthly Activity Log'!B$4:B$200,$B$3,'Monthly Activity Log'!H$4:H$200,"Other",'Monthly Activity Log'!C$4:C$200,"Shennaz",'Monthly Activity Log'!K$4:K$200,"Completed"))</f>
        <v/>
      </c>
      <c r="D65" s="96">
        <f>IF($B$3="All",COUNTIFS('Monthly Activity Log'!H$4:H$200,"Other",'Monthly Activity Log'!C$4:C$200,"Shennaz",'Monthly Activity Log'!K$4:K$200,"In Progress"),COUNTIFS('Monthly Activity Log'!B$4:B$200,$B$3,'Monthly Activity Log'!H$4:H$200,"Other",'Monthly Activity Log'!C$4:C$200,"Shennaz",'Monthly Activity Log'!K$4:K$200,"In Progress"))</f>
        <v/>
      </c>
      <c r="E65" s="96">
        <f>IF($B$3="All",COUNTIFS('Monthly Activity Log'!H$4:H$200,"Other",'Monthly Activity Log'!C$4:C$200,"Shennaz",'Monthly Activity Log'!K$4:K$200,"Pending"),COUNTIFS('Monthly Activity Log'!B$4:B$200,$B$3,'Monthly Activity Log'!H$4:H$200,"Other",'Monthly Activity Log'!C$4:C$200,"Shennaz",'Monthly Activity Log'!K$4:K$200,"Pending"))</f>
        <v/>
      </c>
      <c r="F65" s="97">
        <f>IFERROR(C65/B65,0)</f>
        <v/>
      </c>
      <c r="G65" s="108" t="n"/>
      <c r="H65" s="93" t="n"/>
      <c r="I65" s="93" t="n"/>
      <c r="J65" s="93" t="n"/>
    </row>
    <row r="66" ht="15.75" customHeight="1" s="65">
      <c r="A66" s="81" t="inlineStr">
        <is>
          <t>Nyameka</t>
        </is>
      </c>
      <c r="B66" s="99">
        <f>IF($B$3="All",COUNTIFS('Monthly Activity Log'!H$4:H$200,"Other",'Monthly Activity Log'!C$4:C$200,"Nyameka"),COUNTIFS('Monthly Activity Log'!B$4:B$200,$B$3,'Monthly Activity Log'!H$4:H$200,"Other",'Monthly Activity Log'!C$4:C$200,"Nyameka"))</f>
        <v/>
      </c>
      <c r="C66" s="99">
        <f>IF($B$3="All",COUNTIFS('Monthly Activity Log'!H$4:H$200,"Other",'Monthly Activity Log'!C$4:C$200,"Nyameka",'Monthly Activity Log'!K$4:K$200,"Completed"),COUNTIFS('Monthly Activity Log'!B$4:B$200,$B$3,'Monthly Activity Log'!H$4:H$200,"Other",'Monthly Activity Log'!C$4:C$200,"Nyameka",'Monthly Activity Log'!K$4:K$200,"Completed"))</f>
        <v/>
      </c>
      <c r="D66" s="99">
        <f>IF($B$3="All",COUNTIFS('Monthly Activity Log'!H$4:H$200,"Other",'Monthly Activity Log'!C$4:C$200,"Nyameka",'Monthly Activity Log'!K$4:K$200,"In Progress"),COUNTIFS('Monthly Activity Log'!B$4:B$200,$B$3,'Monthly Activity Log'!H$4:H$200,"Other",'Monthly Activity Log'!C$4:C$200,"Nyameka",'Monthly Activity Log'!K$4:K$200,"In Progress"))</f>
        <v/>
      </c>
      <c r="E66" s="99">
        <f>IF($B$3="All",COUNTIFS('Monthly Activity Log'!H$4:H$200,"Other",'Monthly Activity Log'!C$4:C$200,"Nyameka",'Monthly Activity Log'!K$4:K$200,"Pending"),COUNTIFS('Monthly Activity Log'!B$4:B$200,$B$3,'Monthly Activity Log'!H$4:H$200,"Other",'Monthly Activity Log'!C$4:C$200,"Nyameka",'Monthly Activity Log'!K$4:K$200,"Pending"))</f>
        <v/>
      </c>
      <c r="F66" s="100">
        <f>IFERROR(C66/B66,0)</f>
        <v/>
      </c>
      <c r="G66" s="109" t="n"/>
      <c r="H66" s="93" t="n"/>
      <c r="I66" s="93" t="n"/>
      <c r="J66" s="93" t="n"/>
    </row>
    <row r="67" ht="15.75" customHeight="1" s="65">
      <c r="A67" s="79" t="inlineStr">
        <is>
          <t>Lindiwe</t>
        </is>
      </c>
      <c r="B67" s="96">
        <f>IF($B$3="All",COUNTIFS('Monthly Activity Log'!H$4:H$200,"Other",'Monthly Activity Log'!C$4:C$200,"Lindiwe"),COUNTIFS('Monthly Activity Log'!B$4:B$200,$B$3,'Monthly Activity Log'!H$4:H$200,"Other",'Monthly Activity Log'!C$4:C$200,"Lindiwe"))</f>
        <v/>
      </c>
      <c r="C67" s="96">
        <f>IF($B$3="All",COUNTIFS('Monthly Activity Log'!H$4:H$200,"Other",'Monthly Activity Log'!C$4:C$200,"Lindiwe",'Monthly Activity Log'!K$4:K$200,"Completed"),COUNTIFS('Monthly Activity Log'!B$4:B$200,$B$3,'Monthly Activity Log'!H$4:H$200,"Other",'Monthly Activity Log'!C$4:C$200,"Lindiwe",'Monthly Activity Log'!K$4:K$200,"Completed"))</f>
        <v/>
      </c>
      <c r="D67" s="96">
        <f>IF($B$3="All",COUNTIFS('Monthly Activity Log'!H$4:H$200,"Other",'Monthly Activity Log'!C$4:C$200,"Lindiwe",'Monthly Activity Log'!K$4:K$200,"In Progress"),COUNTIFS('Monthly Activity Log'!B$4:B$200,$B$3,'Monthly Activity Log'!H$4:H$200,"Other",'Monthly Activity Log'!C$4:C$200,"Lindiwe",'Monthly Activity Log'!K$4:K$200,"In Progress"))</f>
        <v/>
      </c>
      <c r="E67" s="96">
        <f>IF($B$3="All",COUNTIFS('Monthly Activity Log'!H$4:H$200,"Other",'Monthly Activity Log'!C$4:C$200,"Lindiwe",'Monthly Activity Log'!K$4:K$200,"Pending"),COUNTIFS('Monthly Activity Log'!B$4:B$200,$B$3,'Monthly Activity Log'!H$4:H$200,"Other",'Monthly Activity Log'!C$4:C$200,"Lindiwe",'Monthly Activity Log'!K$4:K$200,"Pending"))</f>
        <v/>
      </c>
      <c r="F67" s="97">
        <f>IFERROR(C67/B67,0)</f>
        <v/>
      </c>
      <c r="G67" s="108" t="n"/>
      <c r="H67" s="93" t="n"/>
      <c r="I67" s="93" t="n"/>
      <c r="J67" s="93" t="n"/>
    </row>
    <row r="68" ht="15.75" customHeight="1" s="65">
      <c r="A68" s="81" t="inlineStr">
        <is>
          <t>T A Willems</t>
        </is>
      </c>
      <c r="B68" s="99">
        <f>IF($B$3="All",COUNTIFS('Monthly Activity Log'!H$4:H$200,"Other",'Monthly Activity Log'!C$4:C$200,"T A Willems"),COUNTIFS('Monthly Activity Log'!B$4:B$200,$B$3,'Monthly Activity Log'!H$4:H$200,"Other",'Monthly Activity Log'!C$4:C$200,"T A Willems"))</f>
        <v/>
      </c>
      <c r="C68" s="99">
        <f>IF($B$3="All",COUNTIFS('Monthly Activity Log'!H$4:H$200,"Other",'Monthly Activity Log'!C$4:C$200,"T A Willems",'Monthly Activity Log'!K$4:K$200,"Completed"),COUNTIFS('Monthly Activity Log'!B$4:B$200,$B$3,'Monthly Activity Log'!H$4:H$200,"Other",'Monthly Activity Log'!C$4:C$200,"T A Willems",'Monthly Activity Log'!K$4:K$200,"Completed"))</f>
        <v/>
      </c>
      <c r="D68" s="99">
        <f>IF($B$3="All",COUNTIFS('Monthly Activity Log'!H$4:H$200,"Other",'Monthly Activity Log'!C$4:C$200,"T A Willems",'Monthly Activity Log'!K$4:K$200,"In Progress"),COUNTIFS('Monthly Activity Log'!B$4:B$200,$B$3,'Monthly Activity Log'!H$4:H$200,"Other",'Monthly Activity Log'!C$4:C$200,"T A Willems",'Monthly Activity Log'!K$4:K$200,"In Progress"))</f>
        <v/>
      </c>
      <c r="E68" s="99">
        <f>IF($B$3="All",COUNTIFS('Monthly Activity Log'!H$4:H$200,"Other",'Monthly Activity Log'!C$4:C$200,"T A Willems",'Monthly Activity Log'!K$4:K$200,"Pending"),COUNTIFS('Monthly Activity Log'!B$4:B$200,$B$3,'Monthly Activity Log'!H$4:H$200,"Other",'Monthly Activity Log'!C$4:C$200,"T A Willems",'Monthly Activity Log'!K$4:K$200,"Pending"))</f>
        <v/>
      </c>
      <c r="F68" s="100">
        <f>IFERROR(C68/B68,0)</f>
        <v/>
      </c>
      <c r="G68" s="109" t="n"/>
      <c r="H68" s="93" t="n"/>
      <c r="I68" s="93" t="n"/>
      <c r="J68" s="93" t="n"/>
    </row>
    <row r="69" ht="15.75" customHeight="1" s="65">
      <c r="A69" s="79" t="inlineStr">
        <is>
          <t>Mphatheleni Matidze</t>
        </is>
      </c>
      <c r="B69" s="96">
        <f>IF($B$3="All",COUNTIFS('Monthly Activity Log'!H$4:H$200,"Other",'Monthly Activity Log'!C$4:C$200,"Mphatheleni Matidze"),COUNTIFS('Monthly Activity Log'!B$4:B$200,$B$3,'Monthly Activity Log'!H$4:H$200,"Other",'Monthly Activity Log'!C$4:C$200,"Mphatheleni Matidze"))</f>
        <v/>
      </c>
      <c r="C69" s="96">
        <f>IF($B$3="All",COUNTIFS('Monthly Activity Log'!H$4:H$200,"Other",'Monthly Activity Log'!C$4:C$200,"Mphatheleni Matidze",'Monthly Activity Log'!K$4:K$200,"Completed"),COUNTIFS('Monthly Activity Log'!B$4:B$200,$B$3,'Monthly Activity Log'!H$4:H$200,"Other",'Monthly Activity Log'!C$4:C$200,"Mphatheleni Matidze",'Monthly Activity Log'!K$4:K$200,"Completed"))</f>
        <v/>
      </c>
      <c r="D69" s="96">
        <f>IF($B$3="All",COUNTIFS('Monthly Activity Log'!H$4:H$200,"Other",'Monthly Activity Log'!C$4:C$200,"Mphatheleni Matidze",'Monthly Activity Log'!K$4:K$200,"In Progress"),COUNTIFS('Monthly Activity Log'!B$4:B$200,$B$3,'Monthly Activity Log'!H$4:H$200,"Other",'Monthly Activity Log'!C$4:C$200,"Mphatheleni Matidze",'Monthly Activity Log'!K$4:K$200,"In Progress"))</f>
        <v/>
      </c>
      <c r="E69" s="96">
        <f>IF($B$3="All",COUNTIFS('Monthly Activity Log'!H$4:H$200,"Other",'Monthly Activity Log'!C$4:C$200,"Mphatheleni Matidze",'Monthly Activity Log'!K$4:K$200,"Pending"),COUNTIFS('Monthly Activity Log'!B$4:B$200,$B$3,'Monthly Activity Log'!H$4:H$200,"Other",'Monthly Activity Log'!C$4:C$200,"Mphatheleni Matidze",'Monthly Activity Log'!K$4:K$200,"Pending"))</f>
        <v/>
      </c>
      <c r="F69" s="97">
        <f>IFERROR(C69/B69,0)</f>
        <v/>
      </c>
      <c r="G69" s="108" t="n"/>
      <c r="H69" s="93" t="n"/>
      <c r="I69" s="93" t="n"/>
      <c r="J69" s="93" t="n"/>
    </row>
    <row r="71" ht="19.5" customHeight="1" s="65">
      <c r="A71" s="92" t="inlineStr">
        <is>
          <t>ALL OPEN ITEMS  (In Progress &amp; Pending)</t>
        </is>
      </c>
      <c r="B71" s="93" t="n"/>
      <c r="C71" s="93" t="n"/>
      <c r="D71" s="93" t="n"/>
      <c r="E71" s="93" t="n"/>
      <c r="F71" s="93" t="n"/>
      <c r="G71" s="93" t="n"/>
      <c r="H71" s="93" t="n"/>
      <c r="I71" s="93" t="n"/>
      <c r="J71" s="85" t="n"/>
    </row>
    <row r="72" ht="25.5" customHeight="1" s="65">
      <c r="A72" s="94" t="inlineStr">
        <is>
          <t>Client</t>
        </is>
      </c>
      <c r="B72" s="94" t="inlineStr">
        <is>
          <t>Team Member</t>
        </is>
      </c>
      <c r="C72" s="94" t="inlineStr">
        <is>
          <t>Ticket No.</t>
        </is>
      </c>
      <c r="D72" s="94" t="inlineStr">
        <is>
          <t>Activity Name</t>
        </is>
      </c>
      <c r="E72" s="94" t="inlineStr">
        <is>
          <t>Description</t>
        </is>
      </c>
      <c r="F72" s="94" t="inlineStr">
        <is>
          <t>Category</t>
        </is>
      </c>
      <c r="G72" s="94" t="inlineStr">
        <is>
          <t>Priority</t>
        </is>
      </c>
      <c r="H72" s="94" t="inlineStr">
        <is>
          <t>Status</t>
        </is>
      </c>
      <c r="I72" s="94" t="inlineStr">
        <is>
          <t>Month</t>
        </is>
      </c>
      <c r="J72" s="94" t="inlineStr">
        <is>
          <t>Notes</t>
        </is>
      </c>
    </row>
    <row r="73" ht="15.75" customHeight="1" s="65">
      <c r="A73" s="74">
        <f>IF(OR('Monthly Activity Log'!K4="In Progress",'Monthly Activity Log'!K4="Pending"),'Monthly Activity Log'!H4,"")</f>
        <v/>
      </c>
      <c r="B73" s="74">
        <f>IF(OR('Monthly Activity Log'!K4="In Progress",'Monthly Activity Log'!K4="Pending"),'Monthly Activity Log'!C4,"")</f>
        <v/>
      </c>
      <c r="C73" s="74">
        <f>IF(OR('Monthly Activity Log'!K4="In Progress",'Monthly Activity Log'!K4="Pending"),'Monthly Activity Log'!E4,"")</f>
        <v/>
      </c>
      <c r="D73" s="74">
        <f>IF(OR('Monthly Activity Log'!K4="In Progress",'Monthly Activity Log'!K4="Pending"),'Monthly Activity Log'!F4,"")</f>
        <v/>
      </c>
      <c r="E73" s="74">
        <f>IF(OR('Monthly Activity Log'!K4="In Progress",'Monthly Activity Log'!K4="Pending"),'Monthly Activity Log'!G4,"")</f>
        <v/>
      </c>
      <c r="F73" s="74">
        <f>IF(OR('Monthly Activity Log'!K4="In Progress",'Monthly Activity Log'!K4="Pending"),'Monthly Activity Log'!I4,"")</f>
        <v/>
      </c>
      <c r="G73" s="74">
        <f>IF(OR('Monthly Activity Log'!K4="In Progress",'Monthly Activity Log'!K4="Pending"),'Monthly Activity Log'!J4,"")</f>
        <v/>
      </c>
      <c r="H73" s="74">
        <f>IF(OR('Monthly Activity Log'!K4="In Progress",'Monthly Activity Log'!K4="Pending"),'Monthly Activity Log'!K4,"")</f>
        <v/>
      </c>
      <c r="I73" s="74">
        <f>IF(OR('Monthly Activity Log'!K4="In Progress",'Monthly Activity Log'!K4="Pending"),'Monthly Activity Log'!B4,"")</f>
        <v/>
      </c>
      <c r="J73" s="74">
        <f>IF(OR('Monthly Activity Log'!K4="In Progress",'Monthly Activity Log'!K4="Pending"),'Monthly Activity Log'!L4,"")</f>
        <v/>
      </c>
    </row>
    <row r="74" ht="15.75" customHeight="1" s="65">
      <c r="A74" s="70">
        <f>IF(OR('Monthly Activity Log'!K5="In Progress",'Monthly Activity Log'!K5="Pending"),'Monthly Activity Log'!H5,"")</f>
        <v/>
      </c>
      <c r="B74" s="70">
        <f>IF(OR('Monthly Activity Log'!K5="In Progress",'Monthly Activity Log'!K5="Pending"),'Monthly Activity Log'!C5,"")</f>
        <v/>
      </c>
      <c r="C74" s="70">
        <f>IF(OR('Monthly Activity Log'!K5="In Progress",'Monthly Activity Log'!K5="Pending"),'Monthly Activity Log'!E5,"")</f>
        <v/>
      </c>
      <c r="D74" s="70">
        <f>IF(OR('Monthly Activity Log'!K5="In Progress",'Monthly Activity Log'!K5="Pending"),'Monthly Activity Log'!F5,"")</f>
        <v/>
      </c>
      <c r="E74" s="70">
        <f>IF(OR('Monthly Activity Log'!K5="In Progress",'Monthly Activity Log'!K5="Pending"),'Monthly Activity Log'!G5,"")</f>
        <v/>
      </c>
      <c r="F74" s="70">
        <f>IF(OR('Monthly Activity Log'!K5="In Progress",'Monthly Activity Log'!K5="Pending"),'Monthly Activity Log'!I5,"")</f>
        <v/>
      </c>
      <c r="G74" s="70">
        <f>IF(OR('Monthly Activity Log'!K5="In Progress",'Monthly Activity Log'!K5="Pending"),'Monthly Activity Log'!J5,"")</f>
        <v/>
      </c>
      <c r="H74" s="70">
        <f>IF(OR('Monthly Activity Log'!K5="In Progress",'Monthly Activity Log'!K5="Pending"),'Monthly Activity Log'!K5,"")</f>
        <v/>
      </c>
      <c r="I74" s="70">
        <f>IF(OR('Monthly Activity Log'!K5="In Progress",'Monthly Activity Log'!K5="Pending"),'Monthly Activity Log'!B5,"")</f>
        <v/>
      </c>
      <c r="J74" s="70">
        <f>IF(OR('Monthly Activity Log'!K5="In Progress",'Monthly Activity Log'!K5="Pending"),'Monthly Activity Log'!L5,"")</f>
        <v/>
      </c>
    </row>
    <row r="75" ht="15.75" customHeight="1" s="65">
      <c r="A75" s="74">
        <f>IF(OR('Monthly Activity Log'!K6="In Progress",'Monthly Activity Log'!K6="Pending"),'Monthly Activity Log'!H6,"")</f>
        <v/>
      </c>
      <c r="B75" s="74">
        <f>IF(OR('Monthly Activity Log'!K6="In Progress",'Monthly Activity Log'!K6="Pending"),'Monthly Activity Log'!C6,"")</f>
        <v/>
      </c>
      <c r="C75" s="74">
        <f>IF(OR('Monthly Activity Log'!K6="In Progress",'Monthly Activity Log'!K6="Pending"),'Monthly Activity Log'!E6,"")</f>
        <v/>
      </c>
      <c r="D75" s="74">
        <f>IF(OR('Monthly Activity Log'!K6="In Progress",'Monthly Activity Log'!K6="Pending"),'Monthly Activity Log'!F6,"")</f>
        <v/>
      </c>
      <c r="E75" s="74">
        <f>IF(OR('Monthly Activity Log'!K6="In Progress",'Monthly Activity Log'!K6="Pending"),'Monthly Activity Log'!G6,"")</f>
        <v/>
      </c>
      <c r="F75" s="74">
        <f>IF(OR('Monthly Activity Log'!K6="In Progress",'Monthly Activity Log'!K6="Pending"),'Monthly Activity Log'!I6,"")</f>
        <v/>
      </c>
      <c r="G75" s="74">
        <f>IF(OR('Monthly Activity Log'!K6="In Progress",'Monthly Activity Log'!K6="Pending"),'Monthly Activity Log'!J6,"")</f>
        <v/>
      </c>
      <c r="H75" s="74">
        <f>IF(OR('Monthly Activity Log'!K6="In Progress",'Monthly Activity Log'!K6="Pending"),'Monthly Activity Log'!K6,"")</f>
        <v/>
      </c>
      <c r="I75" s="74">
        <f>IF(OR('Monthly Activity Log'!K6="In Progress",'Monthly Activity Log'!K6="Pending"),'Monthly Activity Log'!B6,"")</f>
        <v/>
      </c>
      <c r="J75" s="74">
        <f>IF(OR('Monthly Activity Log'!K6="In Progress",'Monthly Activity Log'!K6="Pending"),'Monthly Activity Log'!L6,"")</f>
        <v/>
      </c>
    </row>
    <row r="76" ht="15.75" customHeight="1" s="65">
      <c r="A76" s="70">
        <f>IF(OR('Monthly Activity Log'!K7="In Progress",'Monthly Activity Log'!K7="Pending"),'Monthly Activity Log'!H7,"")</f>
        <v/>
      </c>
      <c r="B76" s="70">
        <f>IF(OR('Monthly Activity Log'!K7="In Progress",'Monthly Activity Log'!K7="Pending"),'Monthly Activity Log'!C7,"")</f>
        <v/>
      </c>
      <c r="C76" s="70">
        <f>IF(OR('Monthly Activity Log'!K7="In Progress",'Monthly Activity Log'!K7="Pending"),'Monthly Activity Log'!E7,"")</f>
        <v/>
      </c>
      <c r="D76" s="70">
        <f>IF(OR('Monthly Activity Log'!K7="In Progress",'Monthly Activity Log'!K7="Pending"),'Monthly Activity Log'!F7,"")</f>
        <v/>
      </c>
      <c r="E76" s="70">
        <f>IF(OR('Monthly Activity Log'!K7="In Progress",'Monthly Activity Log'!K7="Pending"),'Monthly Activity Log'!G7,"")</f>
        <v/>
      </c>
      <c r="F76" s="70">
        <f>IF(OR('Monthly Activity Log'!K7="In Progress",'Monthly Activity Log'!K7="Pending"),'Monthly Activity Log'!I7,"")</f>
        <v/>
      </c>
      <c r="G76" s="70">
        <f>IF(OR('Monthly Activity Log'!K7="In Progress",'Monthly Activity Log'!K7="Pending"),'Monthly Activity Log'!J7,"")</f>
        <v/>
      </c>
      <c r="H76" s="70">
        <f>IF(OR('Monthly Activity Log'!K7="In Progress",'Monthly Activity Log'!K7="Pending"),'Monthly Activity Log'!K7,"")</f>
        <v/>
      </c>
      <c r="I76" s="70">
        <f>IF(OR('Monthly Activity Log'!K7="In Progress",'Monthly Activity Log'!K7="Pending"),'Monthly Activity Log'!B7,"")</f>
        <v/>
      </c>
      <c r="J76" s="70">
        <f>IF(OR('Monthly Activity Log'!K7="In Progress",'Monthly Activity Log'!K7="Pending"),'Monthly Activity Log'!L7,"")</f>
        <v/>
      </c>
    </row>
    <row r="77" ht="15.75" customHeight="1" s="65">
      <c r="A77" s="74">
        <f>IF(OR('Monthly Activity Log'!K8="In Progress",'Monthly Activity Log'!K8="Pending"),'Monthly Activity Log'!H8,"")</f>
        <v/>
      </c>
      <c r="B77" s="74">
        <f>IF(OR('Monthly Activity Log'!K8="In Progress",'Monthly Activity Log'!K8="Pending"),'Monthly Activity Log'!C8,"")</f>
        <v/>
      </c>
      <c r="C77" s="74">
        <f>IF(OR('Monthly Activity Log'!K8="In Progress",'Monthly Activity Log'!K8="Pending"),'Monthly Activity Log'!E8,"")</f>
        <v/>
      </c>
      <c r="D77" s="74">
        <f>IF(OR('Monthly Activity Log'!K8="In Progress",'Monthly Activity Log'!K8="Pending"),'Monthly Activity Log'!F8,"")</f>
        <v/>
      </c>
      <c r="E77" s="74">
        <f>IF(OR('Monthly Activity Log'!K8="In Progress",'Monthly Activity Log'!K8="Pending"),'Monthly Activity Log'!G8,"")</f>
        <v/>
      </c>
      <c r="F77" s="74">
        <f>IF(OR('Monthly Activity Log'!K8="In Progress",'Monthly Activity Log'!K8="Pending"),'Monthly Activity Log'!I8,"")</f>
        <v/>
      </c>
      <c r="G77" s="74">
        <f>IF(OR('Monthly Activity Log'!K8="In Progress",'Monthly Activity Log'!K8="Pending"),'Monthly Activity Log'!J8,"")</f>
        <v/>
      </c>
      <c r="H77" s="74">
        <f>IF(OR('Monthly Activity Log'!K8="In Progress",'Monthly Activity Log'!K8="Pending"),'Monthly Activity Log'!K8,"")</f>
        <v/>
      </c>
      <c r="I77" s="74">
        <f>IF(OR('Monthly Activity Log'!K8="In Progress",'Monthly Activity Log'!K8="Pending"),'Monthly Activity Log'!B8,"")</f>
        <v/>
      </c>
      <c r="J77" s="74">
        <f>IF(OR('Monthly Activity Log'!K8="In Progress",'Monthly Activity Log'!K8="Pending"),'Monthly Activity Log'!L8,"")</f>
        <v/>
      </c>
    </row>
    <row r="78" ht="15.75" customHeight="1" s="65">
      <c r="A78" s="70">
        <f>IF(OR('Monthly Activity Log'!K9="In Progress",'Monthly Activity Log'!K9="Pending"),'Monthly Activity Log'!H9,"")</f>
        <v/>
      </c>
      <c r="B78" s="70">
        <f>IF(OR('Monthly Activity Log'!K9="In Progress",'Monthly Activity Log'!K9="Pending"),'Monthly Activity Log'!C9,"")</f>
        <v/>
      </c>
      <c r="C78" s="70">
        <f>IF(OR('Monthly Activity Log'!K9="In Progress",'Monthly Activity Log'!K9="Pending"),'Monthly Activity Log'!E9,"")</f>
        <v/>
      </c>
      <c r="D78" s="70">
        <f>IF(OR('Monthly Activity Log'!K9="In Progress",'Monthly Activity Log'!K9="Pending"),'Monthly Activity Log'!F9,"")</f>
        <v/>
      </c>
      <c r="E78" s="70">
        <f>IF(OR('Monthly Activity Log'!K9="In Progress",'Monthly Activity Log'!K9="Pending"),'Monthly Activity Log'!G9,"")</f>
        <v/>
      </c>
      <c r="F78" s="70">
        <f>IF(OR('Monthly Activity Log'!K9="In Progress",'Monthly Activity Log'!K9="Pending"),'Monthly Activity Log'!I9,"")</f>
        <v/>
      </c>
      <c r="G78" s="70">
        <f>IF(OR('Monthly Activity Log'!K9="In Progress",'Monthly Activity Log'!K9="Pending"),'Monthly Activity Log'!J9,"")</f>
        <v/>
      </c>
      <c r="H78" s="70">
        <f>IF(OR('Monthly Activity Log'!K9="In Progress",'Monthly Activity Log'!K9="Pending"),'Monthly Activity Log'!K9,"")</f>
        <v/>
      </c>
      <c r="I78" s="70">
        <f>IF(OR('Monthly Activity Log'!K9="In Progress",'Monthly Activity Log'!K9="Pending"),'Monthly Activity Log'!B9,"")</f>
        <v/>
      </c>
      <c r="J78" s="70">
        <f>IF(OR('Monthly Activity Log'!K9="In Progress",'Monthly Activity Log'!K9="Pending"),'Monthly Activity Log'!L9,"")</f>
        <v/>
      </c>
    </row>
    <row r="79" ht="15.75" customHeight="1" s="65">
      <c r="A79" s="74">
        <f>IF(OR('Monthly Activity Log'!K10="In Progress",'Monthly Activity Log'!K10="Pending"),'Monthly Activity Log'!H10,"")</f>
        <v/>
      </c>
      <c r="B79" s="74">
        <f>IF(OR('Monthly Activity Log'!K10="In Progress",'Monthly Activity Log'!K10="Pending"),'Monthly Activity Log'!C10,"")</f>
        <v/>
      </c>
      <c r="C79" s="74">
        <f>IF(OR('Monthly Activity Log'!K10="In Progress",'Monthly Activity Log'!K10="Pending"),'Monthly Activity Log'!E10,"")</f>
        <v/>
      </c>
      <c r="D79" s="74">
        <f>IF(OR('Monthly Activity Log'!K10="In Progress",'Monthly Activity Log'!K10="Pending"),'Monthly Activity Log'!F10,"")</f>
        <v/>
      </c>
      <c r="E79" s="74">
        <f>IF(OR('Monthly Activity Log'!K10="In Progress",'Monthly Activity Log'!K10="Pending"),'Monthly Activity Log'!G10,"")</f>
        <v/>
      </c>
      <c r="F79" s="74">
        <f>IF(OR('Monthly Activity Log'!K10="In Progress",'Monthly Activity Log'!K10="Pending"),'Monthly Activity Log'!I10,"")</f>
        <v/>
      </c>
      <c r="G79" s="74">
        <f>IF(OR('Monthly Activity Log'!K10="In Progress",'Monthly Activity Log'!K10="Pending"),'Monthly Activity Log'!J10,"")</f>
        <v/>
      </c>
      <c r="H79" s="74">
        <f>IF(OR('Monthly Activity Log'!K10="In Progress",'Monthly Activity Log'!K10="Pending"),'Monthly Activity Log'!K10,"")</f>
        <v/>
      </c>
      <c r="I79" s="74">
        <f>IF(OR('Monthly Activity Log'!K10="In Progress",'Monthly Activity Log'!K10="Pending"),'Monthly Activity Log'!B10,"")</f>
        <v/>
      </c>
      <c r="J79" s="74">
        <f>IF(OR('Monthly Activity Log'!K10="In Progress",'Monthly Activity Log'!K10="Pending"),'Monthly Activity Log'!L10,"")</f>
        <v/>
      </c>
    </row>
    <row r="80" ht="15.75" customHeight="1" s="65">
      <c r="A80" s="70">
        <f>IF(OR('Monthly Activity Log'!K11="In Progress",'Monthly Activity Log'!K11="Pending"),'Monthly Activity Log'!H11,"")</f>
        <v/>
      </c>
      <c r="B80" s="70">
        <f>IF(OR('Monthly Activity Log'!K11="In Progress",'Monthly Activity Log'!K11="Pending"),'Monthly Activity Log'!C11,"")</f>
        <v/>
      </c>
      <c r="C80" s="70">
        <f>IF(OR('Monthly Activity Log'!K11="In Progress",'Monthly Activity Log'!K11="Pending"),'Monthly Activity Log'!E11,"")</f>
        <v/>
      </c>
      <c r="D80" s="70">
        <f>IF(OR('Monthly Activity Log'!K11="In Progress",'Monthly Activity Log'!K11="Pending"),'Monthly Activity Log'!F11,"")</f>
        <v/>
      </c>
      <c r="E80" s="70">
        <f>IF(OR('Monthly Activity Log'!K11="In Progress",'Monthly Activity Log'!K11="Pending"),'Monthly Activity Log'!G11,"")</f>
        <v/>
      </c>
      <c r="F80" s="70">
        <f>IF(OR('Monthly Activity Log'!K11="In Progress",'Monthly Activity Log'!K11="Pending"),'Monthly Activity Log'!I11,"")</f>
        <v/>
      </c>
      <c r="G80" s="70">
        <f>IF(OR('Monthly Activity Log'!K11="In Progress",'Monthly Activity Log'!K11="Pending"),'Monthly Activity Log'!J11,"")</f>
        <v/>
      </c>
      <c r="H80" s="70">
        <f>IF(OR('Monthly Activity Log'!K11="In Progress",'Monthly Activity Log'!K11="Pending"),'Monthly Activity Log'!K11,"")</f>
        <v/>
      </c>
      <c r="I80" s="70">
        <f>IF(OR('Monthly Activity Log'!K11="In Progress",'Monthly Activity Log'!K11="Pending"),'Monthly Activity Log'!B11,"")</f>
        <v/>
      </c>
      <c r="J80" s="70">
        <f>IF(OR('Monthly Activity Log'!K11="In Progress",'Monthly Activity Log'!K11="Pending"),'Monthly Activity Log'!L11,"")</f>
        <v/>
      </c>
    </row>
    <row r="81" ht="15.75" customHeight="1" s="65">
      <c r="A81" s="74">
        <f>IF(OR('Monthly Activity Log'!K12="In Progress",'Monthly Activity Log'!K12="Pending"),'Monthly Activity Log'!H12,"")</f>
        <v/>
      </c>
      <c r="B81" s="74">
        <f>IF(OR('Monthly Activity Log'!K12="In Progress",'Monthly Activity Log'!K12="Pending"),'Monthly Activity Log'!C12,"")</f>
        <v/>
      </c>
      <c r="C81" s="74">
        <f>IF(OR('Monthly Activity Log'!K12="In Progress",'Monthly Activity Log'!K12="Pending"),'Monthly Activity Log'!E12,"")</f>
        <v/>
      </c>
      <c r="D81" s="74">
        <f>IF(OR('Monthly Activity Log'!K12="In Progress",'Monthly Activity Log'!K12="Pending"),'Monthly Activity Log'!F12,"")</f>
        <v/>
      </c>
      <c r="E81" s="74">
        <f>IF(OR('Monthly Activity Log'!K12="In Progress",'Monthly Activity Log'!K12="Pending"),'Monthly Activity Log'!G12,"")</f>
        <v/>
      </c>
      <c r="F81" s="74">
        <f>IF(OR('Monthly Activity Log'!K12="In Progress",'Monthly Activity Log'!K12="Pending"),'Monthly Activity Log'!I12,"")</f>
        <v/>
      </c>
      <c r="G81" s="74">
        <f>IF(OR('Monthly Activity Log'!K12="In Progress",'Monthly Activity Log'!K12="Pending"),'Monthly Activity Log'!J12,"")</f>
        <v/>
      </c>
      <c r="H81" s="74">
        <f>IF(OR('Monthly Activity Log'!K12="In Progress",'Monthly Activity Log'!K12="Pending"),'Monthly Activity Log'!K12,"")</f>
        <v/>
      </c>
      <c r="I81" s="74">
        <f>IF(OR('Monthly Activity Log'!K12="In Progress",'Monthly Activity Log'!K12="Pending"),'Monthly Activity Log'!B12,"")</f>
        <v/>
      </c>
      <c r="J81" s="74">
        <f>IF(OR('Monthly Activity Log'!K12="In Progress",'Monthly Activity Log'!K12="Pending"),'Monthly Activity Log'!L12,"")</f>
        <v/>
      </c>
    </row>
    <row r="82" ht="15.75" customHeight="1" s="65">
      <c r="A82" s="70">
        <f>IF(OR('Monthly Activity Log'!K13="In Progress",'Monthly Activity Log'!K13="Pending"),'Monthly Activity Log'!H13,"")</f>
        <v/>
      </c>
      <c r="B82" s="70">
        <f>IF(OR('Monthly Activity Log'!K13="In Progress",'Monthly Activity Log'!K13="Pending"),'Monthly Activity Log'!C13,"")</f>
        <v/>
      </c>
      <c r="C82" s="70">
        <f>IF(OR('Monthly Activity Log'!K13="In Progress",'Monthly Activity Log'!K13="Pending"),'Monthly Activity Log'!E13,"")</f>
        <v/>
      </c>
      <c r="D82" s="70">
        <f>IF(OR('Monthly Activity Log'!K13="In Progress",'Monthly Activity Log'!K13="Pending"),'Monthly Activity Log'!F13,"")</f>
        <v/>
      </c>
      <c r="E82" s="70">
        <f>IF(OR('Monthly Activity Log'!K13="In Progress",'Monthly Activity Log'!K13="Pending"),'Monthly Activity Log'!G13,"")</f>
        <v/>
      </c>
      <c r="F82" s="70">
        <f>IF(OR('Monthly Activity Log'!K13="In Progress",'Monthly Activity Log'!K13="Pending"),'Monthly Activity Log'!I13,"")</f>
        <v/>
      </c>
      <c r="G82" s="70">
        <f>IF(OR('Monthly Activity Log'!K13="In Progress",'Monthly Activity Log'!K13="Pending"),'Monthly Activity Log'!J13,"")</f>
        <v/>
      </c>
      <c r="H82" s="70">
        <f>IF(OR('Monthly Activity Log'!K13="In Progress",'Monthly Activity Log'!K13="Pending"),'Monthly Activity Log'!K13,"")</f>
        <v/>
      </c>
      <c r="I82" s="70">
        <f>IF(OR('Monthly Activity Log'!K13="In Progress",'Monthly Activity Log'!K13="Pending"),'Monthly Activity Log'!B13,"")</f>
        <v/>
      </c>
      <c r="J82" s="70">
        <f>IF(OR('Monthly Activity Log'!K13="In Progress",'Monthly Activity Log'!K13="Pending"),'Monthly Activity Log'!L13,"")</f>
        <v/>
      </c>
    </row>
    <row r="83" ht="15.75" customHeight="1" s="65">
      <c r="A83" s="74">
        <f>IF(OR('Monthly Activity Log'!K14="In Progress",'Monthly Activity Log'!K14="Pending"),'Monthly Activity Log'!H14,"")</f>
        <v/>
      </c>
      <c r="B83" s="74">
        <f>IF(OR('Monthly Activity Log'!K14="In Progress",'Monthly Activity Log'!K14="Pending"),'Monthly Activity Log'!C14,"")</f>
        <v/>
      </c>
      <c r="C83" s="74">
        <f>IF(OR('Monthly Activity Log'!K14="In Progress",'Monthly Activity Log'!K14="Pending"),'Monthly Activity Log'!E14,"")</f>
        <v/>
      </c>
      <c r="D83" s="74">
        <f>IF(OR('Monthly Activity Log'!K14="In Progress",'Monthly Activity Log'!K14="Pending"),'Monthly Activity Log'!F14,"")</f>
        <v/>
      </c>
      <c r="E83" s="74">
        <f>IF(OR('Monthly Activity Log'!K14="In Progress",'Monthly Activity Log'!K14="Pending"),'Monthly Activity Log'!G14,"")</f>
        <v/>
      </c>
      <c r="F83" s="74">
        <f>IF(OR('Monthly Activity Log'!K14="In Progress",'Monthly Activity Log'!K14="Pending"),'Monthly Activity Log'!I14,"")</f>
        <v/>
      </c>
      <c r="G83" s="74">
        <f>IF(OR('Monthly Activity Log'!K14="In Progress",'Monthly Activity Log'!K14="Pending"),'Monthly Activity Log'!J14,"")</f>
        <v/>
      </c>
      <c r="H83" s="74">
        <f>IF(OR('Monthly Activity Log'!K14="In Progress",'Monthly Activity Log'!K14="Pending"),'Monthly Activity Log'!K14,"")</f>
        <v/>
      </c>
      <c r="I83" s="74">
        <f>IF(OR('Monthly Activity Log'!K14="In Progress",'Monthly Activity Log'!K14="Pending"),'Monthly Activity Log'!B14,"")</f>
        <v/>
      </c>
      <c r="J83" s="74">
        <f>IF(OR('Monthly Activity Log'!K14="In Progress",'Monthly Activity Log'!K14="Pending"),'Monthly Activity Log'!L14,"")</f>
        <v/>
      </c>
    </row>
    <row r="84" ht="15.75" customHeight="1" s="65">
      <c r="A84" s="70">
        <f>IF(OR('Monthly Activity Log'!K15="In Progress",'Monthly Activity Log'!K15="Pending"),'Monthly Activity Log'!H15,"")</f>
        <v/>
      </c>
      <c r="B84" s="70">
        <f>IF(OR('Monthly Activity Log'!K15="In Progress",'Monthly Activity Log'!K15="Pending"),'Monthly Activity Log'!C15,"")</f>
        <v/>
      </c>
      <c r="C84" s="70">
        <f>IF(OR('Monthly Activity Log'!K15="In Progress",'Monthly Activity Log'!K15="Pending"),'Monthly Activity Log'!E15,"")</f>
        <v/>
      </c>
      <c r="D84" s="70">
        <f>IF(OR('Monthly Activity Log'!K15="In Progress",'Monthly Activity Log'!K15="Pending"),'Monthly Activity Log'!F15,"")</f>
        <v/>
      </c>
      <c r="E84" s="70">
        <f>IF(OR('Monthly Activity Log'!K15="In Progress",'Monthly Activity Log'!K15="Pending"),'Monthly Activity Log'!G15,"")</f>
        <v/>
      </c>
      <c r="F84" s="70">
        <f>IF(OR('Monthly Activity Log'!K15="In Progress",'Monthly Activity Log'!K15="Pending"),'Monthly Activity Log'!I15,"")</f>
        <v/>
      </c>
      <c r="G84" s="70">
        <f>IF(OR('Monthly Activity Log'!K15="In Progress",'Monthly Activity Log'!K15="Pending"),'Monthly Activity Log'!J15,"")</f>
        <v/>
      </c>
      <c r="H84" s="70">
        <f>IF(OR('Monthly Activity Log'!K15="In Progress",'Monthly Activity Log'!K15="Pending"),'Monthly Activity Log'!K15,"")</f>
        <v/>
      </c>
      <c r="I84" s="70">
        <f>IF(OR('Monthly Activity Log'!K15="In Progress",'Monthly Activity Log'!K15="Pending"),'Monthly Activity Log'!B15,"")</f>
        <v/>
      </c>
      <c r="J84" s="70">
        <f>IF(OR('Monthly Activity Log'!K15="In Progress",'Monthly Activity Log'!K15="Pending"),'Monthly Activity Log'!L15,"")</f>
        <v/>
      </c>
    </row>
    <row r="85" ht="15.75" customHeight="1" s="65">
      <c r="A85" s="74">
        <f>IF(OR('Monthly Activity Log'!K16="In Progress",'Monthly Activity Log'!K16="Pending"),'Monthly Activity Log'!H16,"")</f>
        <v/>
      </c>
      <c r="B85" s="74">
        <f>IF(OR('Monthly Activity Log'!K16="In Progress",'Monthly Activity Log'!K16="Pending"),'Monthly Activity Log'!C16,"")</f>
        <v/>
      </c>
      <c r="C85" s="74">
        <f>IF(OR('Monthly Activity Log'!K16="In Progress",'Monthly Activity Log'!K16="Pending"),'Monthly Activity Log'!E16,"")</f>
        <v/>
      </c>
      <c r="D85" s="74">
        <f>IF(OR('Monthly Activity Log'!K16="In Progress",'Monthly Activity Log'!K16="Pending"),'Monthly Activity Log'!F16,"")</f>
        <v/>
      </c>
      <c r="E85" s="74">
        <f>IF(OR('Monthly Activity Log'!K16="In Progress",'Monthly Activity Log'!K16="Pending"),'Monthly Activity Log'!G16,"")</f>
        <v/>
      </c>
      <c r="F85" s="74">
        <f>IF(OR('Monthly Activity Log'!K16="In Progress",'Monthly Activity Log'!K16="Pending"),'Monthly Activity Log'!I16,"")</f>
        <v/>
      </c>
      <c r="G85" s="74">
        <f>IF(OR('Monthly Activity Log'!K16="In Progress",'Monthly Activity Log'!K16="Pending"),'Monthly Activity Log'!J16,"")</f>
        <v/>
      </c>
      <c r="H85" s="74">
        <f>IF(OR('Monthly Activity Log'!K16="In Progress",'Monthly Activity Log'!K16="Pending"),'Monthly Activity Log'!K16,"")</f>
        <v/>
      </c>
      <c r="I85" s="74">
        <f>IF(OR('Monthly Activity Log'!K16="In Progress",'Monthly Activity Log'!K16="Pending"),'Monthly Activity Log'!B16,"")</f>
        <v/>
      </c>
      <c r="J85" s="74">
        <f>IF(OR('Monthly Activity Log'!K16="In Progress",'Monthly Activity Log'!K16="Pending"),'Monthly Activity Log'!L16,"")</f>
        <v/>
      </c>
    </row>
    <row r="86" ht="15.75" customHeight="1" s="65">
      <c r="A86" s="70">
        <f>IF(OR('Monthly Activity Log'!K17="In Progress",'Monthly Activity Log'!K17="Pending"),'Monthly Activity Log'!H17,"")</f>
        <v/>
      </c>
      <c r="B86" s="70">
        <f>IF(OR('Monthly Activity Log'!K17="In Progress",'Monthly Activity Log'!K17="Pending"),'Monthly Activity Log'!C17,"")</f>
        <v/>
      </c>
      <c r="C86" s="70">
        <f>IF(OR('Monthly Activity Log'!K17="In Progress",'Monthly Activity Log'!K17="Pending"),'Monthly Activity Log'!E17,"")</f>
        <v/>
      </c>
      <c r="D86" s="70">
        <f>IF(OR('Monthly Activity Log'!K17="In Progress",'Monthly Activity Log'!K17="Pending"),'Monthly Activity Log'!F17,"")</f>
        <v/>
      </c>
      <c r="E86" s="70">
        <f>IF(OR('Monthly Activity Log'!K17="In Progress",'Monthly Activity Log'!K17="Pending"),'Monthly Activity Log'!G17,"")</f>
        <v/>
      </c>
      <c r="F86" s="70">
        <f>IF(OR('Monthly Activity Log'!K17="In Progress",'Monthly Activity Log'!K17="Pending"),'Monthly Activity Log'!I17,"")</f>
        <v/>
      </c>
      <c r="G86" s="70">
        <f>IF(OR('Monthly Activity Log'!K17="In Progress",'Monthly Activity Log'!K17="Pending"),'Monthly Activity Log'!J17,"")</f>
        <v/>
      </c>
      <c r="H86" s="70">
        <f>IF(OR('Monthly Activity Log'!K17="In Progress",'Monthly Activity Log'!K17="Pending"),'Monthly Activity Log'!K17,"")</f>
        <v/>
      </c>
      <c r="I86" s="70">
        <f>IF(OR('Monthly Activity Log'!K17="In Progress",'Monthly Activity Log'!K17="Pending"),'Monthly Activity Log'!B17,"")</f>
        <v/>
      </c>
      <c r="J86" s="70">
        <f>IF(OR('Monthly Activity Log'!K17="In Progress",'Monthly Activity Log'!K17="Pending"),'Monthly Activity Log'!L17,"")</f>
        <v/>
      </c>
    </row>
    <row r="87" ht="15.75" customHeight="1" s="65">
      <c r="A87" s="74">
        <f>IF(OR('Monthly Activity Log'!K18="In Progress",'Monthly Activity Log'!K18="Pending"),'Monthly Activity Log'!H18,"")</f>
        <v/>
      </c>
      <c r="B87" s="74">
        <f>IF(OR('Monthly Activity Log'!K18="In Progress",'Monthly Activity Log'!K18="Pending"),'Monthly Activity Log'!C18,"")</f>
        <v/>
      </c>
      <c r="C87" s="74">
        <f>IF(OR('Monthly Activity Log'!K18="In Progress",'Monthly Activity Log'!K18="Pending"),'Monthly Activity Log'!E18,"")</f>
        <v/>
      </c>
      <c r="D87" s="74">
        <f>IF(OR('Monthly Activity Log'!K18="In Progress",'Monthly Activity Log'!K18="Pending"),'Monthly Activity Log'!F18,"")</f>
        <v/>
      </c>
      <c r="E87" s="74">
        <f>IF(OR('Monthly Activity Log'!K18="In Progress",'Monthly Activity Log'!K18="Pending"),'Monthly Activity Log'!G18,"")</f>
        <v/>
      </c>
      <c r="F87" s="74">
        <f>IF(OR('Monthly Activity Log'!K18="In Progress",'Monthly Activity Log'!K18="Pending"),'Monthly Activity Log'!I18,"")</f>
        <v/>
      </c>
      <c r="G87" s="74">
        <f>IF(OR('Monthly Activity Log'!K18="In Progress",'Monthly Activity Log'!K18="Pending"),'Monthly Activity Log'!J18,"")</f>
        <v/>
      </c>
      <c r="H87" s="74">
        <f>IF(OR('Monthly Activity Log'!K18="In Progress",'Monthly Activity Log'!K18="Pending"),'Monthly Activity Log'!K18,"")</f>
        <v/>
      </c>
      <c r="I87" s="74">
        <f>IF(OR('Monthly Activity Log'!K18="In Progress",'Monthly Activity Log'!K18="Pending"),'Monthly Activity Log'!B18,"")</f>
        <v/>
      </c>
      <c r="J87" s="74">
        <f>IF(OR('Monthly Activity Log'!K18="In Progress",'Monthly Activity Log'!K18="Pending"),'Monthly Activity Log'!L18,"")</f>
        <v/>
      </c>
    </row>
    <row r="88" ht="15.75" customHeight="1" s="65">
      <c r="A88" s="70">
        <f>IF(OR('Monthly Activity Log'!K19="In Progress",'Monthly Activity Log'!K19="Pending"),'Monthly Activity Log'!H19,"")</f>
        <v/>
      </c>
      <c r="B88" s="70">
        <f>IF(OR('Monthly Activity Log'!K19="In Progress",'Monthly Activity Log'!K19="Pending"),'Monthly Activity Log'!C19,"")</f>
        <v/>
      </c>
      <c r="C88" s="70">
        <f>IF(OR('Monthly Activity Log'!K19="In Progress",'Monthly Activity Log'!K19="Pending"),'Monthly Activity Log'!E19,"")</f>
        <v/>
      </c>
      <c r="D88" s="70">
        <f>IF(OR('Monthly Activity Log'!K19="In Progress",'Monthly Activity Log'!K19="Pending"),'Monthly Activity Log'!F19,"")</f>
        <v/>
      </c>
      <c r="E88" s="70">
        <f>IF(OR('Monthly Activity Log'!K19="In Progress",'Monthly Activity Log'!K19="Pending"),'Monthly Activity Log'!G19,"")</f>
        <v/>
      </c>
      <c r="F88" s="70">
        <f>IF(OR('Monthly Activity Log'!K19="In Progress",'Monthly Activity Log'!K19="Pending"),'Monthly Activity Log'!I19,"")</f>
        <v/>
      </c>
      <c r="G88" s="70">
        <f>IF(OR('Monthly Activity Log'!K19="In Progress",'Monthly Activity Log'!K19="Pending"),'Monthly Activity Log'!J19,"")</f>
        <v/>
      </c>
      <c r="H88" s="70">
        <f>IF(OR('Monthly Activity Log'!K19="In Progress",'Monthly Activity Log'!K19="Pending"),'Monthly Activity Log'!K19,"")</f>
        <v/>
      </c>
      <c r="I88" s="70">
        <f>IF(OR('Monthly Activity Log'!K19="In Progress",'Monthly Activity Log'!K19="Pending"),'Monthly Activity Log'!B19,"")</f>
        <v/>
      </c>
      <c r="J88" s="70">
        <f>IF(OR('Monthly Activity Log'!K19="In Progress",'Monthly Activity Log'!K19="Pending"),'Monthly Activity Log'!L19,"")</f>
        <v/>
      </c>
    </row>
    <row r="89" ht="15.75" customHeight="1" s="65">
      <c r="A89" s="74">
        <f>IF(OR('Monthly Activity Log'!K20="In Progress",'Monthly Activity Log'!K20="Pending"),'Monthly Activity Log'!H20,"")</f>
        <v/>
      </c>
      <c r="B89" s="74">
        <f>IF(OR('Monthly Activity Log'!K20="In Progress",'Monthly Activity Log'!K20="Pending"),'Monthly Activity Log'!C20,"")</f>
        <v/>
      </c>
      <c r="C89" s="74">
        <f>IF(OR('Monthly Activity Log'!K20="In Progress",'Monthly Activity Log'!K20="Pending"),'Monthly Activity Log'!E20,"")</f>
        <v/>
      </c>
      <c r="D89" s="74">
        <f>IF(OR('Monthly Activity Log'!K20="In Progress",'Monthly Activity Log'!K20="Pending"),'Monthly Activity Log'!F20,"")</f>
        <v/>
      </c>
      <c r="E89" s="74">
        <f>IF(OR('Monthly Activity Log'!K20="In Progress",'Monthly Activity Log'!K20="Pending"),'Monthly Activity Log'!G20,"")</f>
        <v/>
      </c>
      <c r="F89" s="74">
        <f>IF(OR('Monthly Activity Log'!K20="In Progress",'Monthly Activity Log'!K20="Pending"),'Monthly Activity Log'!I20,"")</f>
        <v/>
      </c>
      <c r="G89" s="74">
        <f>IF(OR('Monthly Activity Log'!K20="In Progress",'Monthly Activity Log'!K20="Pending"),'Monthly Activity Log'!J20,"")</f>
        <v/>
      </c>
      <c r="H89" s="74">
        <f>IF(OR('Monthly Activity Log'!K20="In Progress",'Monthly Activity Log'!K20="Pending"),'Monthly Activity Log'!K20,"")</f>
        <v/>
      </c>
      <c r="I89" s="74">
        <f>IF(OR('Monthly Activity Log'!K20="In Progress",'Monthly Activity Log'!K20="Pending"),'Monthly Activity Log'!B20,"")</f>
        <v/>
      </c>
      <c r="J89" s="74">
        <f>IF(OR('Monthly Activity Log'!K20="In Progress",'Monthly Activity Log'!K20="Pending"),'Monthly Activity Log'!L20,"")</f>
        <v/>
      </c>
    </row>
    <row r="90" ht="15.75" customHeight="1" s="65">
      <c r="A90" s="70">
        <f>IF(OR('Monthly Activity Log'!K21="In Progress",'Monthly Activity Log'!K21="Pending"),'Monthly Activity Log'!H21,"")</f>
        <v/>
      </c>
      <c r="B90" s="70">
        <f>IF(OR('Monthly Activity Log'!K21="In Progress",'Monthly Activity Log'!K21="Pending"),'Monthly Activity Log'!C21,"")</f>
        <v/>
      </c>
      <c r="C90" s="70">
        <f>IF(OR('Monthly Activity Log'!K21="In Progress",'Monthly Activity Log'!K21="Pending"),'Monthly Activity Log'!E21,"")</f>
        <v/>
      </c>
      <c r="D90" s="70">
        <f>IF(OR('Monthly Activity Log'!K21="In Progress",'Monthly Activity Log'!K21="Pending"),'Monthly Activity Log'!F21,"")</f>
        <v/>
      </c>
      <c r="E90" s="70">
        <f>IF(OR('Monthly Activity Log'!K21="In Progress",'Monthly Activity Log'!K21="Pending"),'Monthly Activity Log'!G21,"")</f>
        <v/>
      </c>
      <c r="F90" s="70">
        <f>IF(OR('Monthly Activity Log'!K21="In Progress",'Monthly Activity Log'!K21="Pending"),'Monthly Activity Log'!I21,"")</f>
        <v/>
      </c>
      <c r="G90" s="70">
        <f>IF(OR('Monthly Activity Log'!K21="In Progress",'Monthly Activity Log'!K21="Pending"),'Monthly Activity Log'!J21,"")</f>
        <v/>
      </c>
      <c r="H90" s="70">
        <f>IF(OR('Monthly Activity Log'!K21="In Progress",'Monthly Activity Log'!K21="Pending"),'Monthly Activity Log'!K21,"")</f>
        <v/>
      </c>
      <c r="I90" s="70">
        <f>IF(OR('Monthly Activity Log'!K21="In Progress",'Monthly Activity Log'!K21="Pending"),'Monthly Activity Log'!B21,"")</f>
        <v/>
      </c>
      <c r="J90" s="70">
        <f>IF(OR('Monthly Activity Log'!K21="In Progress",'Monthly Activity Log'!K21="Pending"),'Monthly Activity Log'!L21,"")</f>
        <v/>
      </c>
    </row>
    <row r="91" ht="15.75" customHeight="1" s="65">
      <c r="A91" s="74">
        <f>IF(OR('Monthly Activity Log'!K22="In Progress",'Monthly Activity Log'!K22="Pending"),'Monthly Activity Log'!H22,"")</f>
        <v/>
      </c>
      <c r="B91" s="74">
        <f>IF(OR('Monthly Activity Log'!K22="In Progress",'Monthly Activity Log'!K22="Pending"),'Monthly Activity Log'!C22,"")</f>
        <v/>
      </c>
      <c r="C91" s="74">
        <f>IF(OR('Monthly Activity Log'!K22="In Progress",'Monthly Activity Log'!K22="Pending"),'Monthly Activity Log'!E22,"")</f>
        <v/>
      </c>
      <c r="D91" s="74">
        <f>IF(OR('Monthly Activity Log'!K22="In Progress",'Monthly Activity Log'!K22="Pending"),'Monthly Activity Log'!F22,"")</f>
        <v/>
      </c>
      <c r="E91" s="74">
        <f>IF(OR('Monthly Activity Log'!K22="In Progress",'Monthly Activity Log'!K22="Pending"),'Monthly Activity Log'!G22,"")</f>
        <v/>
      </c>
      <c r="F91" s="74">
        <f>IF(OR('Monthly Activity Log'!K22="In Progress",'Monthly Activity Log'!K22="Pending"),'Monthly Activity Log'!I22,"")</f>
        <v/>
      </c>
      <c r="G91" s="74">
        <f>IF(OR('Monthly Activity Log'!K22="In Progress",'Monthly Activity Log'!K22="Pending"),'Monthly Activity Log'!J22,"")</f>
        <v/>
      </c>
      <c r="H91" s="74">
        <f>IF(OR('Monthly Activity Log'!K22="In Progress",'Monthly Activity Log'!K22="Pending"),'Monthly Activity Log'!K22,"")</f>
        <v/>
      </c>
      <c r="I91" s="74">
        <f>IF(OR('Monthly Activity Log'!K22="In Progress",'Monthly Activity Log'!K22="Pending"),'Monthly Activity Log'!B22,"")</f>
        <v/>
      </c>
      <c r="J91" s="74">
        <f>IF(OR('Monthly Activity Log'!K22="In Progress",'Monthly Activity Log'!K22="Pending"),'Monthly Activity Log'!L22,"")</f>
        <v/>
      </c>
    </row>
    <row r="92" ht="15.75" customHeight="1" s="65">
      <c r="A92" s="70">
        <f>IF(OR('Monthly Activity Log'!K23="In Progress",'Monthly Activity Log'!K23="Pending"),'Monthly Activity Log'!H23,"")</f>
        <v/>
      </c>
      <c r="B92" s="70">
        <f>IF(OR('Monthly Activity Log'!K23="In Progress",'Monthly Activity Log'!K23="Pending"),'Monthly Activity Log'!C23,"")</f>
        <v/>
      </c>
      <c r="C92" s="70">
        <f>IF(OR('Monthly Activity Log'!K23="In Progress",'Monthly Activity Log'!K23="Pending"),'Monthly Activity Log'!E23,"")</f>
        <v/>
      </c>
      <c r="D92" s="70">
        <f>IF(OR('Monthly Activity Log'!K23="In Progress",'Monthly Activity Log'!K23="Pending"),'Monthly Activity Log'!F23,"")</f>
        <v/>
      </c>
      <c r="E92" s="70">
        <f>IF(OR('Monthly Activity Log'!K23="In Progress",'Monthly Activity Log'!K23="Pending"),'Monthly Activity Log'!G23,"")</f>
        <v/>
      </c>
      <c r="F92" s="70">
        <f>IF(OR('Monthly Activity Log'!K23="In Progress",'Monthly Activity Log'!K23="Pending"),'Monthly Activity Log'!I23,"")</f>
        <v/>
      </c>
      <c r="G92" s="70">
        <f>IF(OR('Monthly Activity Log'!K23="In Progress",'Monthly Activity Log'!K23="Pending"),'Monthly Activity Log'!J23,"")</f>
        <v/>
      </c>
      <c r="H92" s="70">
        <f>IF(OR('Monthly Activity Log'!K23="In Progress",'Monthly Activity Log'!K23="Pending"),'Monthly Activity Log'!K23,"")</f>
        <v/>
      </c>
      <c r="I92" s="70">
        <f>IF(OR('Monthly Activity Log'!K23="In Progress",'Monthly Activity Log'!K23="Pending"),'Monthly Activity Log'!B23,"")</f>
        <v/>
      </c>
      <c r="J92" s="70">
        <f>IF(OR('Monthly Activity Log'!K23="In Progress",'Monthly Activity Log'!K23="Pending"),'Monthly Activity Log'!L23,"")</f>
        <v/>
      </c>
    </row>
    <row r="93" ht="15.75" customHeight="1" s="65">
      <c r="A93" s="74">
        <f>IF(OR('Monthly Activity Log'!K24="In Progress",'Monthly Activity Log'!K24="Pending"),'Monthly Activity Log'!H24,"")</f>
        <v/>
      </c>
      <c r="B93" s="74">
        <f>IF(OR('Monthly Activity Log'!K24="In Progress",'Monthly Activity Log'!K24="Pending"),'Monthly Activity Log'!C24,"")</f>
        <v/>
      </c>
      <c r="C93" s="74">
        <f>IF(OR('Monthly Activity Log'!K24="In Progress",'Monthly Activity Log'!K24="Pending"),'Monthly Activity Log'!E24,"")</f>
        <v/>
      </c>
      <c r="D93" s="74">
        <f>IF(OR('Monthly Activity Log'!K24="In Progress",'Monthly Activity Log'!K24="Pending"),'Monthly Activity Log'!F24,"")</f>
        <v/>
      </c>
      <c r="E93" s="74">
        <f>IF(OR('Monthly Activity Log'!K24="In Progress",'Monthly Activity Log'!K24="Pending"),'Monthly Activity Log'!G24,"")</f>
        <v/>
      </c>
      <c r="F93" s="74">
        <f>IF(OR('Monthly Activity Log'!K24="In Progress",'Monthly Activity Log'!K24="Pending"),'Monthly Activity Log'!I24,"")</f>
        <v/>
      </c>
      <c r="G93" s="74">
        <f>IF(OR('Monthly Activity Log'!K24="In Progress",'Monthly Activity Log'!K24="Pending"),'Monthly Activity Log'!J24,"")</f>
        <v/>
      </c>
      <c r="H93" s="74">
        <f>IF(OR('Monthly Activity Log'!K24="In Progress",'Monthly Activity Log'!K24="Pending"),'Monthly Activity Log'!K24,"")</f>
        <v/>
      </c>
      <c r="I93" s="74">
        <f>IF(OR('Monthly Activity Log'!K24="In Progress",'Monthly Activity Log'!K24="Pending"),'Monthly Activity Log'!B24,"")</f>
        <v/>
      </c>
      <c r="J93" s="74">
        <f>IF(OR('Monthly Activity Log'!K24="In Progress",'Monthly Activity Log'!K24="Pending"),'Monthly Activity Log'!L24,"")</f>
        <v/>
      </c>
    </row>
    <row r="94" ht="15.75" customHeight="1" s="65">
      <c r="A94" s="70">
        <f>IF(OR('Monthly Activity Log'!K25="In Progress",'Monthly Activity Log'!K25="Pending"),'Monthly Activity Log'!H25,"")</f>
        <v/>
      </c>
      <c r="B94" s="70">
        <f>IF(OR('Monthly Activity Log'!K25="In Progress",'Monthly Activity Log'!K25="Pending"),'Monthly Activity Log'!C25,"")</f>
        <v/>
      </c>
      <c r="C94" s="70">
        <f>IF(OR('Monthly Activity Log'!K25="In Progress",'Monthly Activity Log'!K25="Pending"),'Monthly Activity Log'!E25,"")</f>
        <v/>
      </c>
      <c r="D94" s="70">
        <f>IF(OR('Monthly Activity Log'!K25="In Progress",'Monthly Activity Log'!K25="Pending"),'Monthly Activity Log'!F25,"")</f>
        <v/>
      </c>
      <c r="E94" s="70">
        <f>IF(OR('Monthly Activity Log'!K25="In Progress",'Monthly Activity Log'!K25="Pending"),'Monthly Activity Log'!G25,"")</f>
        <v/>
      </c>
      <c r="F94" s="70">
        <f>IF(OR('Monthly Activity Log'!K25="In Progress",'Monthly Activity Log'!K25="Pending"),'Monthly Activity Log'!I25,"")</f>
        <v/>
      </c>
      <c r="G94" s="70">
        <f>IF(OR('Monthly Activity Log'!K25="In Progress",'Monthly Activity Log'!K25="Pending"),'Monthly Activity Log'!J25,"")</f>
        <v/>
      </c>
      <c r="H94" s="70">
        <f>IF(OR('Monthly Activity Log'!K25="In Progress",'Monthly Activity Log'!K25="Pending"),'Monthly Activity Log'!K25,"")</f>
        <v/>
      </c>
      <c r="I94" s="70">
        <f>IF(OR('Monthly Activity Log'!K25="In Progress",'Monthly Activity Log'!K25="Pending"),'Monthly Activity Log'!B25,"")</f>
        <v/>
      </c>
      <c r="J94" s="70">
        <f>IF(OR('Monthly Activity Log'!K25="In Progress",'Monthly Activity Log'!K25="Pending"),'Monthly Activity Log'!L25,"")</f>
        <v/>
      </c>
    </row>
    <row r="95" ht="15.75" customHeight="1" s="65">
      <c r="A95" s="74">
        <f>IF(OR('Monthly Activity Log'!K26="In Progress",'Monthly Activity Log'!K26="Pending"),'Monthly Activity Log'!H26,"")</f>
        <v/>
      </c>
      <c r="B95" s="74">
        <f>IF(OR('Monthly Activity Log'!K26="In Progress",'Monthly Activity Log'!K26="Pending"),'Monthly Activity Log'!C26,"")</f>
        <v/>
      </c>
      <c r="C95" s="74">
        <f>IF(OR('Monthly Activity Log'!K26="In Progress",'Monthly Activity Log'!K26="Pending"),'Monthly Activity Log'!E26,"")</f>
        <v/>
      </c>
      <c r="D95" s="74">
        <f>IF(OR('Monthly Activity Log'!K26="In Progress",'Monthly Activity Log'!K26="Pending"),'Monthly Activity Log'!F26,"")</f>
        <v/>
      </c>
      <c r="E95" s="74">
        <f>IF(OR('Monthly Activity Log'!K26="In Progress",'Monthly Activity Log'!K26="Pending"),'Monthly Activity Log'!G26,"")</f>
        <v/>
      </c>
      <c r="F95" s="74">
        <f>IF(OR('Monthly Activity Log'!K26="In Progress",'Monthly Activity Log'!K26="Pending"),'Monthly Activity Log'!I26,"")</f>
        <v/>
      </c>
      <c r="G95" s="74">
        <f>IF(OR('Monthly Activity Log'!K26="In Progress",'Monthly Activity Log'!K26="Pending"),'Monthly Activity Log'!J26,"")</f>
        <v/>
      </c>
      <c r="H95" s="74">
        <f>IF(OR('Monthly Activity Log'!K26="In Progress",'Monthly Activity Log'!K26="Pending"),'Monthly Activity Log'!K26,"")</f>
        <v/>
      </c>
      <c r="I95" s="74">
        <f>IF(OR('Monthly Activity Log'!K26="In Progress",'Monthly Activity Log'!K26="Pending"),'Monthly Activity Log'!B26,"")</f>
        <v/>
      </c>
      <c r="J95" s="74">
        <f>IF(OR('Monthly Activity Log'!K26="In Progress",'Monthly Activity Log'!K26="Pending"),'Monthly Activity Log'!L26,"")</f>
        <v/>
      </c>
    </row>
    <row r="96" ht="15.75" customHeight="1" s="65">
      <c r="A96" s="70">
        <f>IF(OR('Monthly Activity Log'!K27="In Progress",'Monthly Activity Log'!K27="Pending"),'Monthly Activity Log'!H27,"")</f>
        <v/>
      </c>
      <c r="B96" s="70">
        <f>IF(OR('Monthly Activity Log'!K27="In Progress",'Monthly Activity Log'!K27="Pending"),'Monthly Activity Log'!C27,"")</f>
        <v/>
      </c>
      <c r="C96" s="70">
        <f>IF(OR('Monthly Activity Log'!K27="In Progress",'Monthly Activity Log'!K27="Pending"),'Monthly Activity Log'!E27,"")</f>
        <v/>
      </c>
      <c r="D96" s="70">
        <f>IF(OR('Monthly Activity Log'!K27="In Progress",'Monthly Activity Log'!K27="Pending"),'Monthly Activity Log'!F27,"")</f>
        <v/>
      </c>
      <c r="E96" s="70">
        <f>IF(OR('Monthly Activity Log'!K27="In Progress",'Monthly Activity Log'!K27="Pending"),'Monthly Activity Log'!G27,"")</f>
        <v/>
      </c>
      <c r="F96" s="70">
        <f>IF(OR('Monthly Activity Log'!K27="In Progress",'Monthly Activity Log'!K27="Pending"),'Monthly Activity Log'!I27,"")</f>
        <v/>
      </c>
      <c r="G96" s="70">
        <f>IF(OR('Monthly Activity Log'!K27="In Progress",'Monthly Activity Log'!K27="Pending"),'Monthly Activity Log'!J27,"")</f>
        <v/>
      </c>
      <c r="H96" s="70">
        <f>IF(OR('Monthly Activity Log'!K27="In Progress",'Monthly Activity Log'!K27="Pending"),'Monthly Activity Log'!K27,"")</f>
        <v/>
      </c>
      <c r="I96" s="70">
        <f>IF(OR('Monthly Activity Log'!K27="In Progress",'Monthly Activity Log'!K27="Pending"),'Monthly Activity Log'!B27,"")</f>
        <v/>
      </c>
      <c r="J96" s="70">
        <f>IF(OR('Monthly Activity Log'!K27="In Progress",'Monthly Activity Log'!K27="Pending"),'Monthly Activity Log'!L27,"")</f>
        <v/>
      </c>
    </row>
    <row r="97" ht="15.75" customHeight="1" s="65">
      <c r="A97" s="74">
        <f>IF(OR('Monthly Activity Log'!K28="In Progress",'Monthly Activity Log'!K28="Pending"),'Monthly Activity Log'!H28,"")</f>
        <v/>
      </c>
      <c r="B97" s="74">
        <f>IF(OR('Monthly Activity Log'!K28="In Progress",'Monthly Activity Log'!K28="Pending"),'Monthly Activity Log'!C28,"")</f>
        <v/>
      </c>
      <c r="C97" s="74">
        <f>IF(OR('Monthly Activity Log'!K28="In Progress",'Monthly Activity Log'!K28="Pending"),'Monthly Activity Log'!E28,"")</f>
        <v/>
      </c>
      <c r="D97" s="74">
        <f>IF(OR('Monthly Activity Log'!K28="In Progress",'Monthly Activity Log'!K28="Pending"),'Monthly Activity Log'!F28,"")</f>
        <v/>
      </c>
      <c r="E97" s="74">
        <f>IF(OR('Monthly Activity Log'!K28="In Progress",'Monthly Activity Log'!K28="Pending"),'Monthly Activity Log'!G28,"")</f>
        <v/>
      </c>
      <c r="F97" s="74">
        <f>IF(OR('Monthly Activity Log'!K28="In Progress",'Monthly Activity Log'!K28="Pending"),'Monthly Activity Log'!I28,"")</f>
        <v/>
      </c>
      <c r="G97" s="74">
        <f>IF(OR('Monthly Activity Log'!K28="In Progress",'Monthly Activity Log'!K28="Pending"),'Monthly Activity Log'!J28,"")</f>
        <v/>
      </c>
      <c r="H97" s="74">
        <f>IF(OR('Monthly Activity Log'!K28="In Progress",'Monthly Activity Log'!K28="Pending"),'Monthly Activity Log'!K28,"")</f>
        <v/>
      </c>
      <c r="I97" s="74">
        <f>IF(OR('Monthly Activity Log'!K28="In Progress",'Monthly Activity Log'!K28="Pending"),'Monthly Activity Log'!B28,"")</f>
        <v/>
      </c>
      <c r="J97" s="74">
        <f>IF(OR('Monthly Activity Log'!K28="In Progress",'Monthly Activity Log'!K28="Pending"),'Monthly Activity Log'!L28,"")</f>
        <v/>
      </c>
    </row>
    <row r="98" ht="15.75" customHeight="1" s="65">
      <c r="A98" s="70">
        <f>IF(OR('Monthly Activity Log'!K29="In Progress",'Monthly Activity Log'!K29="Pending"),'Monthly Activity Log'!H29,"")</f>
        <v/>
      </c>
      <c r="B98" s="70">
        <f>IF(OR('Monthly Activity Log'!K29="In Progress",'Monthly Activity Log'!K29="Pending"),'Monthly Activity Log'!C29,"")</f>
        <v/>
      </c>
      <c r="C98" s="70">
        <f>IF(OR('Monthly Activity Log'!K29="In Progress",'Monthly Activity Log'!K29="Pending"),'Monthly Activity Log'!E29,"")</f>
        <v/>
      </c>
      <c r="D98" s="70">
        <f>IF(OR('Monthly Activity Log'!K29="In Progress",'Monthly Activity Log'!K29="Pending"),'Monthly Activity Log'!F29,"")</f>
        <v/>
      </c>
      <c r="E98" s="70">
        <f>IF(OR('Monthly Activity Log'!K29="In Progress",'Monthly Activity Log'!K29="Pending"),'Monthly Activity Log'!G29,"")</f>
        <v/>
      </c>
      <c r="F98" s="70">
        <f>IF(OR('Monthly Activity Log'!K29="In Progress",'Monthly Activity Log'!K29="Pending"),'Monthly Activity Log'!I29,"")</f>
        <v/>
      </c>
      <c r="G98" s="70">
        <f>IF(OR('Monthly Activity Log'!K29="In Progress",'Monthly Activity Log'!K29="Pending"),'Monthly Activity Log'!J29,"")</f>
        <v/>
      </c>
      <c r="H98" s="70">
        <f>IF(OR('Monthly Activity Log'!K29="In Progress",'Monthly Activity Log'!K29="Pending"),'Monthly Activity Log'!K29,"")</f>
        <v/>
      </c>
      <c r="I98" s="70">
        <f>IF(OR('Monthly Activity Log'!K29="In Progress",'Monthly Activity Log'!K29="Pending"),'Monthly Activity Log'!B29,"")</f>
        <v/>
      </c>
      <c r="J98" s="70">
        <f>IF(OR('Monthly Activity Log'!K29="In Progress",'Monthly Activity Log'!K29="Pending"),'Monthly Activity Log'!L29,"")</f>
        <v/>
      </c>
    </row>
    <row r="99" ht="15.75" customHeight="1" s="65">
      <c r="A99" s="74">
        <f>IF(OR('Monthly Activity Log'!K30="In Progress",'Monthly Activity Log'!K30="Pending"),'Monthly Activity Log'!H30,"")</f>
        <v/>
      </c>
      <c r="B99" s="74">
        <f>IF(OR('Monthly Activity Log'!K30="In Progress",'Monthly Activity Log'!K30="Pending"),'Monthly Activity Log'!C30,"")</f>
        <v/>
      </c>
      <c r="C99" s="74">
        <f>IF(OR('Monthly Activity Log'!K30="In Progress",'Monthly Activity Log'!K30="Pending"),'Monthly Activity Log'!E30,"")</f>
        <v/>
      </c>
      <c r="D99" s="74">
        <f>IF(OR('Monthly Activity Log'!K30="In Progress",'Monthly Activity Log'!K30="Pending"),'Monthly Activity Log'!F30,"")</f>
        <v/>
      </c>
      <c r="E99" s="74">
        <f>IF(OR('Monthly Activity Log'!K30="In Progress",'Monthly Activity Log'!K30="Pending"),'Monthly Activity Log'!G30,"")</f>
        <v/>
      </c>
      <c r="F99" s="74">
        <f>IF(OR('Monthly Activity Log'!K30="In Progress",'Monthly Activity Log'!K30="Pending"),'Monthly Activity Log'!I30,"")</f>
        <v/>
      </c>
      <c r="G99" s="74">
        <f>IF(OR('Monthly Activity Log'!K30="In Progress",'Monthly Activity Log'!K30="Pending"),'Monthly Activity Log'!J30,"")</f>
        <v/>
      </c>
      <c r="H99" s="74">
        <f>IF(OR('Monthly Activity Log'!K30="In Progress",'Monthly Activity Log'!K30="Pending"),'Monthly Activity Log'!K30,"")</f>
        <v/>
      </c>
      <c r="I99" s="74">
        <f>IF(OR('Monthly Activity Log'!K30="In Progress",'Monthly Activity Log'!K30="Pending"),'Monthly Activity Log'!B30,"")</f>
        <v/>
      </c>
      <c r="J99" s="74">
        <f>IF(OR('Monthly Activity Log'!K30="In Progress",'Monthly Activity Log'!K30="Pending"),'Monthly Activity Log'!L30,"")</f>
        <v/>
      </c>
    </row>
    <row r="100" ht="15.75" customHeight="1" s="65">
      <c r="A100" s="70">
        <f>IF(OR('Monthly Activity Log'!K31="In Progress",'Monthly Activity Log'!K31="Pending"),'Monthly Activity Log'!H31,"")</f>
        <v/>
      </c>
      <c r="B100" s="70">
        <f>IF(OR('Monthly Activity Log'!K31="In Progress",'Monthly Activity Log'!K31="Pending"),'Monthly Activity Log'!C31,"")</f>
        <v/>
      </c>
      <c r="C100" s="70">
        <f>IF(OR('Monthly Activity Log'!K31="In Progress",'Monthly Activity Log'!K31="Pending"),'Monthly Activity Log'!E31,"")</f>
        <v/>
      </c>
      <c r="D100" s="70">
        <f>IF(OR('Monthly Activity Log'!K31="In Progress",'Monthly Activity Log'!K31="Pending"),'Monthly Activity Log'!F31,"")</f>
        <v/>
      </c>
      <c r="E100" s="70">
        <f>IF(OR('Monthly Activity Log'!K31="In Progress",'Monthly Activity Log'!K31="Pending"),'Monthly Activity Log'!G31,"")</f>
        <v/>
      </c>
      <c r="F100" s="70">
        <f>IF(OR('Monthly Activity Log'!K31="In Progress",'Monthly Activity Log'!K31="Pending"),'Monthly Activity Log'!I31,"")</f>
        <v/>
      </c>
      <c r="G100" s="70">
        <f>IF(OR('Monthly Activity Log'!K31="In Progress",'Monthly Activity Log'!K31="Pending"),'Monthly Activity Log'!J31,"")</f>
        <v/>
      </c>
      <c r="H100" s="70">
        <f>IF(OR('Monthly Activity Log'!K31="In Progress",'Monthly Activity Log'!K31="Pending"),'Monthly Activity Log'!K31,"")</f>
        <v/>
      </c>
      <c r="I100" s="70">
        <f>IF(OR('Monthly Activity Log'!K31="In Progress",'Monthly Activity Log'!K31="Pending"),'Monthly Activity Log'!B31,"")</f>
        <v/>
      </c>
      <c r="J100" s="70">
        <f>IF(OR('Monthly Activity Log'!K31="In Progress",'Monthly Activity Log'!K31="Pending"),'Monthly Activity Log'!L31,"")</f>
        <v/>
      </c>
    </row>
    <row r="101" ht="15.75" customHeight="1" s="65">
      <c r="A101" s="74">
        <f>IF(OR('Monthly Activity Log'!K32="In Progress",'Monthly Activity Log'!K32="Pending"),'Monthly Activity Log'!H32,"")</f>
        <v/>
      </c>
      <c r="B101" s="74">
        <f>IF(OR('Monthly Activity Log'!K32="In Progress",'Monthly Activity Log'!K32="Pending"),'Monthly Activity Log'!C32,"")</f>
        <v/>
      </c>
      <c r="C101" s="74">
        <f>IF(OR('Monthly Activity Log'!K32="In Progress",'Monthly Activity Log'!K32="Pending"),'Monthly Activity Log'!E32,"")</f>
        <v/>
      </c>
      <c r="D101" s="74">
        <f>IF(OR('Monthly Activity Log'!K32="In Progress",'Monthly Activity Log'!K32="Pending"),'Monthly Activity Log'!F32,"")</f>
        <v/>
      </c>
      <c r="E101" s="74">
        <f>IF(OR('Monthly Activity Log'!K32="In Progress",'Monthly Activity Log'!K32="Pending"),'Monthly Activity Log'!G32,"")</f>
        <v/>
      </c>
      <c r="F101" s="74">
        <f>IF(OR('Monthly Activity Log'!K32="In Progress",'Monthly Activity Log'!K32="Pending"),'Monthly Activity Log'!I32,"")</f>
        <v/>
      </c>
      <c r="G101" s="74">
        <f>IF(OR('Monthly Activity Log'!K32="In Progress",'Monthly Activity Log'!K32="Pending"),'Monthly Activity Log'!J32,"")</f>
        <v/>
      </c>
      <c r="H101" s="74">
        <f>IF(OR('Monthly Activity Log'!K32="In Progress",'Monthly Activity Log'!K32="Pending"),'Monthly Activity Log'!K32,"")</f>
        <v/>
      </c>
      <c r="I101" s="74">
        <f>IF(OR('Monthly Activity Log'!K32="In Progress",'Monthly Activity Log'!K32="Pending"),'Monthly Activity Log'!B32,"")</f>
        <v/>
      </c>
      <c r="J101" s="74">
        <f>IF(OR('Monthly Activity Log'!K32="In Progress",'Monthly Activity Log'!K32="Pending"),'Monthly Activity Log'!L32,"")</f>
        <v/>
      </c>
    </row>
    <row r="102" ht="15.75" customHeight="1" s="65">
      <c r="A102" s="70">
        <f>IF(OR('Monthly Activity Log'!K33="In Progress",'Monthly Activity Log'!K33="Pending"),'Monthly Activity Log'!H33,"")</f>
        <v/>
      </c>
      <c r="B102" s="70">
        <f>IF(OR('Monthly Activity Log'!K33="In Progress",'Monthly Activity Log'!K33="Pending"),'Monthly Activity Log'!C33,"")</f>
        <v/>
      </c>
      <c r="C102" s="70">
        <f>IF(OR('Monthly Activity Log'!K33="In Progress",'Monthly Activity Log'!K33="Pending"),'Monthly Activity Log'!E33,"")</f>
        <v/>
      </c>
      <c r="D102" s="70">
        <f>IF(OR('Monthly Activity Log'!K33="In Progress",'Monthly Activity Log'!K33="Pending"),'Monthly Activity Log'!F33,"")</f>
        <v/>
      </c>
      <c r="E102" s="70">
        <f>IF(OR('Monthly Activity Log'!K33="In Progress",'Monthly Activity Log'!K33="Pending"),'Monthly Activity Log'!G33,"")</f>
        <v/>
      </c>
      <c r="F102" s="70">
        <f>IF(OR('Monthly Activity Log'!K33="In Progress",'Monthly Activity Log'!K33="Pending"),'Monthly Activity Log'!I33,"")</f>
        <v/>
      </c>
      <c r="G102" s="70">
        <f>IF(OR('Monthly Activity Log'!K33="In Progress",'Monthly Activity Log'!K33="Pending"),'Monthly Activity Log'!J33,"")</f>
        <v/>
      </c>
      <c r="H102" s="70">
        <f>IF(OR('Monthly Activity Log'!K33="In Progress",'Monthly Activity Log'!K33="Pending"),'Monthly Activity Log'!K33,"")</f>
        <v/>
      </c>
      <c r="I102" s="70">
        <f>IF(OR('Monthly Activity Log'!K33="In Progress",'Monthly Activity Log'!K33="Pending"),'Monthly Activity Log'!B33,"")</f>
        <v/>
      </c>
      <c r="J102" s="70">
        <f>IF(OR('Monthly Activity Log'!K33="In Progress",'Monthly Activity Log'!K33="Pending"),'Monthly Activity Log'!L33,"")</f>
        <v/>
      </c>
    </row>
    <row r="103" ht="15.75" customHeight="1" s="65">
      <c r="A103" s="74">
        <f>IF(OR('Monthly Activity Log'!K34="In Progress",'Monthly Activity Log'!K34="Pending"),'Monthly Activity Log'!H34,"")</f>
        <v/>
      </c>
      <c r="B103" s="74">
        <f>IF(OR('Monthly Activity Log'!K34="In Progress",'Monthly Activity Log'!K34="Pending"),'Monthly Activity Log'!C34,"")</f>
        <v/>
      </c>
      <c r="C103" s="74">
        <f>IF(OR('Monthly Activity Log'!K34="In Progress",'Monthly Activity Log'!K34="Pending"),'Monthly Activity Log'!E34,"")</f>
        <v/>
      </c>
      <c r="D103" s="74">
        <f>IF(OR('Monthly Activity Log'!K34="In Progress",'Monthly Activity Log'!K34="Pending"),'Monthly Activity Log'!F34,"")</f>
        <v/>
      </c>
      <c r="E103" s="74">
        <f>IF(OR('Monthly Activity Log'!K34="In Progress",'Monthly Activity Log'!K34="Pending"),'Monthly Activity Log'!G34,"")</f>
        <v/>
      </c>
      <c r="F103" s="74">
        <f>IF(OR('Monthly Activity Log'!K34="In Progress",'Monthly Activity Log'!K34="Pending"),'Monthly Activity Log'!I34,"")</f>
        <v/>
      </c>
      <c r="G103" s="74">
        <f>IF(OR('Monthly Activity Log'!K34="In Progress",'Monthly Activity Log'!K34="Pending"),'Monthly Activity Log'!J34,"")</f>
        <v/>
      </c>
      <c r="H103" s="74">
        <f>IF(OR('Monthly Activity Log'!K34="In Progress",'Monthly Activity Log'!K34="Pending"),'Monthly Activity Log'!K34,"")</f>
        <v/>
      </c>
      <c r="I103" s="74">
        <f>IF(OR('Monthly Activity Log'!K34="In Progress",'Monthly Activity Log'!K34="Pending"),'Monthly Activity Log'!B34,"")</f>
        <v/>
      </c>
      <c r="J103" s="74">
        <f>IF(OR('Monthly Activity Log'!K34="In Progress",'Monthly Activity Log'!K34="Pending"),'Monthly Activity Log'!L34,"")</f>
        <v/>
      </c>
    </row>
    <row r="104" ht="15.75" customHeight="1" s="65">
      <c r="A104" s="70">
        <f>IF(OR('Monthly Activity Log'!K35="In Progress",'Monthly Activity Log'!K35="Pending"),'Monthly Activity Log'!H35,"")</f>
        <v/>
      </c>
      <c r="B104" s="70">
        <f>IF(OR('Monthly Activity Log'!K35="In Progress",'Monthly Activity Log'!K35="Pending"),'Monthly Activity Log'!C35,"")</f>
        <v/>
      </c>
      <c r="C104" s="70">
        <f>IF(OR('Monthly Activity Log'!K35="In Progress",'Monthly Activity Log'!K35="Pending"),'Monthly Activity Log'!E35,"")</f>
        <v/>
      </c>
      <c r="D104" s="70">
        <f>IF(OR('Monthly Activity Log'!K35="In Progress",'Monthly Activity Log'!K35="Pending"),'Monthly Activity Log'!F35,"")</f>
        <v/>
      </c>
      <c r="E104" s="70">
        <f>IF(OR('Monthly Activity Log'!K35="In Progress",'Monthly Activity Log'!K35="Pending"),'Monthly Activity Log'!G35,"")</f>
        <v/>
      </c>
      <c r="F104" s="70">
        <f>IF(OR('Monthly Activity Log'!K35="In Progress",'Monthly Activity Log'!K35="Pending"),'Monthly Activity Log'!I35,"")</f>
        <v/>
      </c>
      <c r="G104" s="70">
        <f>IF(OR('Monthly Activity Log'!K35="In Progress",'Monthly Activity Log'!K35="Pending"),'Monthly Activity Log'!J35,"")</f>
        <v/>
      </c>
      <c r="H104" s="70">
        <f>IF(OR('Monthly Activity Log'!K35="In Progress",'Monthly Activity Log'!K35="Pending"),'Monthly Activity Log'!K35,"")</f>
        <v/>
      </c>
      <c r="I104" s="70">
        <f>IF(OR('Monthly Activity Log'!K35="In Progress",'Monthly Activity Log'!K35="Pending"),'Monthly Activity Log'!B35,"")</f>
        <v/>
      </c>
      <c r="J104" s="70">
        <f>IF(OR('Monthly Activity Log'!K35="In Progress",'Monthly Activity Log'!K35="Pending"),'Monthly Activity Log'!L35,"")</f>
        <v/>
      </c>
    </row>
    <row r="105" ht="15.75" customHeight="1" s="65">
      <c r="A105" s="74">
        <f>IF(OR('Monthly Activity Log'!K36="In Progress",'Monthly Activity Log'!K36="Pending"),'Monthly Activity Log'!H36,"")</f>
        <v/>
      </c>
      <c r="B105" s="74">
        <f>IF(OR('Monthly Activity Log'!K36="In Progress",'Monthly Activity Log'!K36="Pending"),'Monthly Activity Log'!C36,"")</f>
        <v/>
      </c>
      <c r="C105" s="74">
        <f>IF(OR('Monthly Activity Log'!K36="In Progress",'Monthly Activity Log'!K36="Pending"),'Monthly Activity Log'!E36,"")</f>
        <v/>
      </c>
      <c r="D105" s="74">
        <f>IF(OR('Monthly Activity Log'!K36="In Progress",'Monthly Activity Log'!K36="Pending"),'Monthly Activity Log'!F36,"")</f>
        <v/>
      </c>
      <c r="E105" s="74">
        <f>IF(OR('Monthly Activity Log'!K36="In Progress",'Monthly Activity Log'!K36="Pending"),'Monthly Activity Log'!G36,"")</f>
        <v/>
      </c>
      <c r="F105" s="74">
        <f>IF(OR('Monthly Activity Log'!K36="In Progress",'Monthly Activity Log'!K36="Pending"),'Monthly Activity Log'!I36,"")</f>
        <v/>
      </c>
      <c r="G105" s="74">
        <f>IF(OR('Monthly Activity Log'!K36="In Progress",'Monthly Activity Log'!K36="Pending"),'Monthly Activity Log'!J36,"")</f>
        <v/>
      </c>
      <c r="H105" s="74">
        <f>IF(OR('Monthly Activity Log'!K36="In Progress",'Monthly Activity Log'!K36="Pending"),'Monthly Activity Log'!K36,"")</f>
        <v/>
      </c>
      <c r="I105" s="74">
        <f>IF(OR('Monthly Activity Log'!K36="In Progress",'Monthly Activity Log'!K36="Pending"),'Monthly Activity Log'!B36,"")</f>
        <v/>
      </c>
      <c r="J105" s="74">
        <f>IF(OR('Monthly Activity Log'!K36="In Progress",'Monthly Activity Log'!K36="Pending"),'Monthly Activity Log'!L36,"")</f>
        <v/>
      </c>
    </row>
    <row r="106" ht="15.75" customHeight="1" s="65">
      <c r="A106" s="70">
        <f>IF(OR('Monthly Activity Log'!K37="In Progress",'Monthly Activity Log'!K37="Pending"),'Monthly Activity Log'!H37,"")</f>
        <v/>
      </c>
      <c r="B106" s="70">
        <f>IF(OR('Monthly Activity Log'!K37="In Progress",'Monthly Activity Log'!K37="Pending"),'Monthly Activity Log'!C37,"")</f>
        <v/>
      </c>
      <c r="C106" s="70">
        <f>IF(OR('Monthly Activity Log'!K37="In Progress",'Monthly Activity Log'!K37="Pending"),'Monthly Activity Log'!E37,"")</f>
        <v/>
      </c>
      <c r="D106" s="70">
        <f>IF(OR('Monthly Activity Log'!K37="In Progress",'Monthly Activity Log'!K37="Pending"),'Monthly Activity Log'!F37,"")</f>
        <v/>
      </c>
      <c r="E106" s="70">
        <f>IF(OR('Monthly Activity Log'!K37="In Progress",'Monthly Activity Log'!K37="Pending"),'Monthly Activity Log'!G37,"")</f>
        <v/>
      </c>
      <c r="F106" s="70">
        <f>IF(OR('Monthly Activity Log'!K37="In Progress",'Monthly Activity Log'!K37="Pending"),'Monthly Activity Log'!I37,"")</f>
        <v/>
      </c>
      <c r="G106" s="70">
        <f>IF(OR('Monthly Activity Log'!K37="In Progress",'Monthly Activity Log'!K37="Pending"),'Monthly Activity Log'!J37,"")</f>
        <v/>
      </c>
      <c r="H106" s="70">
        <f>IF(OR('Monthly Activity Log'!K37="In Progress",'Monthly Activity Log'!K37="Pending"),'Monthly Activity Log'!K37,"")</f>
        <v/>
      </c>
      <c r="I106" s="70">
        <f>IF(OR('Monthly Activity Log'!K37="In Progress",'Monthly Activity Log'!K37="Pending"),'Monthly Activity Log'!B37,"")</f>
        <v/>
      </c>
      <c r="J106" s="70">
        <f>IF(OR('Monthly Activity Log'!K37="In Progress",'Monthly Activity Log'!K37="Pending"),'Monthly Activity Log'!L37,"")</f>
        <v/>
      </c>
    </row>
    <row r="107" ht="15.75" customHeight="1" s="65">
      <c r="A107" s="74">
        <f>IF(OR('Monthly Activity Log'!K38="In Progress",'Monthly Activity Log'!K38="Pending"),'Monthly Activity Log'!H38,"")</f>
        <v/>
      </c>
      <c r="B107" s="74">
        <f>IF(OR('Monthly Activity Log'!K38="In Progress",'Monthly Activity Log'!K38="Pending"),'Monthly Activity Log'!C38,"")</f>
        <v/>
      </c>
      <c r="C107" s="74">
        <f>IF(OR('Monthly Activity Log'!K38="In Progress",'Monthly Activity Log'!K38="Pending"),'Monthly Activity Log'!E38,"")</f>
        <v/>
      </c>
      <c r="D107" s="74">
        <f>IF(OR('Monthly Activity Log'!K38="In Progress",'Monthly Activity Log'!K38="Pending"),'Monthly Activity Log'!F38,"")</f>
        <v/>
      </c>
      <c r="E107" s="74">
        <f>IF(OR('Monthly Activity Log'!K38="In Progress",'Monthly Activity Log'!K38="Pending"),'Monthly Activity Log'!G38,"")</f>
        <v/>
      </c>
      <c r="F107" s="74">
        <f>IF(OR('Monthly Activity Log'!K38="In Progress",'Monthly Activity Log'!K38="Pending"),'Monthly Activity Log'!I38,"")</f>
        <v/>
      </c>
      <c r="G107" s="74">
        <f>IF(OR('Monthly Activity Log'!K38="In Progress",'Monthly Activity Log'!K38="Pending"),'Monthly Activity Log'!J38,"")</f>
        <v/>
      </c>
      <c r="H107" s="74">
        <f>IF(OR('Monthly Activity Log'!K38="In Progress",'Monthly Activity Log'!K38="Pending"),'Monthly Activity Log'!K38,"")</f>
        <v/>
      </c>
      <c r="I107" s="74">
        <f>IF(OR('Monthly Activity Log'!K38="In Progress",'Monthly Activity Log'!K38="Pending"),'Monthly Activity Log'!B38,"")</f>
        <v/>
      </c>
      <c r="J107" s="74">
        <f>IF(OR('Monthly Activity Log'!K38="In Progress",'Monthly Activity Log'!K38="Pending"),'Monthly Activity Log'!L38,"")</f>
        <v/>
      </c>
    </row>
    <row r="108" ht="15.75" customHeight="1" s="65">
      <c r="A108" s="70">
        <f>IF(OR('Monthly Activity Log'!K39="In Progress",'Monthly Activity Log'!K39="Pending"),'Monthly Activity Log'!H39,"")</f>
        <v/>
      </c>
      <c r="B108" s="70">
        <f>IF(OR('Monthly Activity Log'!K39="In Progress",'Monthly Activity Log'!K39="Pending"),'Monthly Activity Log'!C39,"")</f>
        <v/>
      </c>
      <c r="C108" s="70">
        <f>IF(OR('Monthly Activity Log'!K39="In Progress",'Monthly Activity Log'!K39="Pending"),'Monthly Activity Log'!E39,"")</f>
        <v/>
      </c>
      <c r="D108" s="70">
        <f>IF(OR('Monthly Activity Log'!K39="In Progress",'Monthly Activity Log'!K39="Pending"),'Monthly Activity Log'!F39,"")</f>
        <v/>
      </c>
      <c r="E108" s="70">
        <f>IF(OR('Monthly Activity Log'!K39="In Progress",'Monthly Activity Log'!K39="Pending"),'Monthly Activity Log'!G39,"")</f>
        <v/>
      </c>
      <c r="F108" s="70">
        <f>IF(OR('Monthly Activity Log'!K39="In Progress",'Monthly Activity Log'!K39="Pending"),'Monthly Activity Log'!I39,"")</f>
        <v/>
      </c>
      <c r="G108" s="70">
        <f>IF(OR('Monthly Activity Log'!K39="In Progress",'Monthly Activity Log'!K39="Pending"),'Monthly Activity Log'!J39,"")</f>
        <v/>
      </c>
      <c r="H108" s="70">
        <f>IF(OR('Monthly Activity Log'!K39="In Progress",'Monthly Activity Log'!K39="Pending"),'Monthly Activity Log'!K39,"")</f>
        <v/>
      </c>
      <c r="I108" s="70">
        <f>IF(OR('Monthly Activity Log'!K39="In Progress",'Monthly Activity Log'!K39="Pending"),'Monthly Activity Log'!B39,"")</f>
        <v/>
      </c>
      <c r="J108" s="70">
        <f>IF(OR('Monthly Activity Log'!K39="In Progress",'Monthly Activity Log'!K39="Pending"),'Monthly Activity Log'!L39,"")</f>
        <v/>
      </c>
    </row>
    <row r="109" ht="15.75" customHeight="1" s="65">
      <c r="A109" s="74">
        <f>IF(OR('Monthly Activity Log'!K40="In Progress",'Monthly Activity Log'!K40="Pending"),'Monthly Activity Log'!H40,"")</f>
        <v/>
      </c>
      <c r="B109" s="74">
        <f>IF(OR('Monthly Activity Log'!K40="In Progress",'Monthly Activity Log'!K40="Pending"),'Monthly Activity Log'!C40,"")</f>
        <v/>
      </c>
      <c r="C109" s="74">
        <f>IF(OR('Monthly Activity Log'!K40="In Progress",'Monthly Activity Log'!K40="Pending"),'Monthly Activity Log'!E40,"")</f>
        <v/>
      </c>
      <c r="D109" s="74">
        <f>IF(OR('Monthly Activity Log'!K40="In Progress",'Monthly Activity Log'!K40="Pending"),'Monthly Activity Log'!F40,"")</f>
        <v/>
      </c>
      <c r="E109" s="74">
        <f>IF(OR('Monthly Activity Log'!K40="In Progress",'Monthly Activity Log'!K40="Pending"),'Monthly Activity Log'!G40,"")</f>
        <v/>
      </c>
      <c r="F109" s="74">
        <f>IF(OR('Monthly Activity Log'!K40="In Progress",'Monthly Activity Log'!K40="Pending"),'Monthly Activity Log'!I40,"")</f>
        <v/>
      </c>
      <c r="G109" s="74">
        <f>IF(OR('Monthly Activity Log'!K40="In Progress",'Monthly Activity Log'!K40="Pending"),'Monthly Activity Log'!J40,"")</f>
        <v/>
      </c>
      <c r="H109" s="74">
        <f>IF(OR('Monthly Activity Log'!K40="In Progress",'Monthly Activity Log'!K40="Pending"),'Monthly Activity Log'!K40,"")</f>
        <v/>
      </c>
      <c r="I109" s="74">
        <f>IF(OR('Monthly Activity Log'!K40="In Progress",'Monthly Activity Log'!K40="Pending"),'Monthly Activity Log'!B40,"")</f>
        <v/>
      </c>
      <c r="J109" s="74">
        <f>IF(OR('Monthly Activity Log'!K40="In Progress",'Monthly Activity Log'!K40="Pending"),'Monthly Activity Log'!L40,"")</f>
        <v/>
      </c>
    </row>
    <row r="110" ht="15.75" customHeight="1" s="65">
      <c r="A110" s="70">
        <f>IF(OR('Monthly Activity Log'!K41="In Progress",'Monthly Activity Log'!K41="Pending"),'Monthly Activity Log'!H41,"")</f>
        <v/>
      </c>
      <c r="B110" s="70">
        <f>IF(OR('Monthly Activity Log'!K41="In Progress",'Monthly Activity Log'!K41="Pending"),'Monthly Activity Log'!C41,"")</f>
        <v/>
      </c>
      <c r="C110" s="70">
        <f>IF(OR('Monthly Activity Log'!K41="In Progress",'Monthly Activity Log'!K41="Pending"),'Monthly Activity Log'!E41,"")</f>
        <v/>
      </c>
      <c r="D110" s="70">
        <f>IF(OR('Monthly Activity Log'!K41="In Progress",'Monthly Activity Log'!K41="Pending"),'Monthly Activity Log'!F41,"")</f>
        <v/>
      </c>
      <c r="E110" s="70">
        <f>IF(OR('Monthly Activity Log'!K41="In Progress",'Monthly Activity Log'!K41="Pending"),'Monthly Activity Log'!G41,"")</f>
        <v/>
      </c>
      <c r="F110" s="70">
        <f>IF(OR('Monthly Activity Log'!K41="In Progress",'Monthly Activity Log'!K41="Pending"),'Monthly Activity Log'!I41,"")</f>
        <v/>
      </c>
      <c r="G110" s="70">
        <f>IF(OR('Monthly Activity Log'!K41="In Progress",'Monthly Activity Log'!K41="Pending"),'Monthly Activity Log'!J41,"")</f>
        <v/>
      </c>
      <c r="H110" s="70">
        <f>IF(OR('Monthly Activity Log'!K41="In Progress",'Monthly Activity Log'!K41="Pending"),'Monthly Activity Log'!K41,"")</f>
        <v/>
      </c>
      <c r="I110" s="70">
        <f>IF(OR('Monthly Activity Log'!K41="In Progress",'Monthly Activity Log'!K41="Pending"),'Monthly Activity Log'!B41,"")</f>
        <v/>
      </c>
      <c r="J110" s="70">
        <f>IF(OR('Monthly Activity Log'!K41="In Progress",'Monthly Activity Log'!K41="Pending"),'Monthly Activity Log'!L41,"")</f>
        <v/>
      </c>
    </row>
    <row r="111" ht="15.75" customHeight="1" s="65">
      <c r="A111" s="74">
        <f>IF(OR('Monthly Activity Log'!K42="In Progress",'Monthly Activity Log'!K42="Pending"),'Monthly Activity Log'!H42,"")</f>
        <v/>
      </c>
      <c r="B111" s="74">
        <f>IF(OR('Monthly Activity Log'!K42="In Progress",'Monthly Activity Log'!K42="Pending"),'Monthly Activity Log'!C42,"")</f>
        <v/>
      </c>
      <c r="C111" s="74">
        <f>IF(OR('Monthly Activity Log'!K42="In Progress",'Monthly Activity Log'!K42="Pending"),'Monthly Activity Log'!E42,"")</f>
        <v/>
      </c>
      <c r="D111" s="74">
        <f>IF(OR('Monthly Activity Log'!K42="In Progress",'Monthly Activity Log'!K42="Pending"),'Monthly Activity Log'!F42,"")</f>
        <v/>
      </c>
      <c r="E111" s="74">
        <f>IF(OR('Monthly Activity Log'!K42="In Progress",'Monthly Activity Log'!K42="Pending"),'Monthly Activity Log'!G42,"")</f>
        <v/>
      </c>
      <c r="F111" s="74">
        <f>IF(OR('Monthly Activity Log'!K42="In Progress",'Monthly Activity Log'!K42="Pending"),'Monthly Activity Log'!I42,"")</f>
        <v/>
      </c>
      <c r="G111" s="74">
        <f>IF(OR('Monthly Activity Log'!K42="In Progress",'Monthly Activity Log'!K42="Pending"),'Monthly Activity Log'!J42,"")</f>
        <v/>
      </c>
      <c r="H111" s="74">
        <f>IF(OR('Monthly Activity Log'!K42="In Progress",'Monthly Activity Log'!K42="Pending"),'Monthly Activity Log'!K42,"")</f>
        <v/>
      </c>
      <c r="I111" s="74">
        <f>IF(OR('Monthly Activity Log'!K42="In Progress",'Monthly Activity Log'!K42="Pending"),'Monthly Activity Log'!B42,"")</f>
        <v/>
      </c>
      <c r="J111" s="74">
        <f>IF(OR('Monthly Activity Log'!K42="In Progress",'Monthly Activity Log'!K42="Pending"),'Monthly Activity Log'!L42,"")</f>
        <v/>
      </c>
    </row>
    <row r="112" ht="15.75" customHeight="1" s="65">
      <c r="A112" s="70">
        <f>IF(OR('Monthly Activity Log'!K43="In Progress",'Monthly Activity Log'!K43="Pending"),'Monthly Activity Log'!H43,"")</f>
        <v/>
      </c>
      <c r="B112" s="70">
        <f>IF(OR('Monthly Activity Log'!K43="In Progress",'Monthly Activity Log'!K43="Pending"),'Monthly Activity Log'!C43,"")</f>
        <v/>
      </c>
      <c r="C112" s="70">
        <f>IF(OR('Monthly Activity Log'!K43="In Progress",'Monthly Activity Log'!K43="Pending"),'Monthly Activity Log'!E43,"")</f>
        <v/>
      </c>
      <c r="D112" s="70">
        <f>IF(OR('Monthly Activity Log'!K43="In Progress",'Monthly Activity Log'!K43="Pending"),'Monthly Activity Log'!F43,"")</f>
        <v/>
      </c>
      <c r="E112" s="70">
        <f>IF(OR('Monthly Activity Log'!K43="In Progress",'Monthly Activity Log'!K43="Pending"),'Monthly Activity Log'!G43,"")</f>
        <v/>
      </c>
      <c r="F112" s="70">
        <f>IF(OR('Monthly Activity Log'!K43="In Progress",'Monthly Activity Log'!K43="Pending"),'Monthly Activity Log'!I43,"")</f>
        <v/>
      </c>
      <c r="G112" s="70">
        <f>IF(OR('Monthly Activity Log'!K43="In Progress",'Monthly Activity Log'!K43="Pending"),'Monthly Activity Log'!J43,"")</f>
        <v/>
      </c>
      <c r="H112" s="70">
        <f>IF(OR('Monthly Activity Log'!K43="In Progress",'Monthly Activity Log'!K43="Pending"),'Monthly Activity Log'!K43,"")</f>
        <v/>
      </c>
      <c r="I112" s="70">
        <f>IF(OR('Monthly Activity Log'!K43="In Progress",'Monthly Activity Log'!K43="Pending"),'Monthly Activity Log'!B43,"")</f>
        <v/>
      </c>
      <c r="J112" s="70">
        <f>IF(OR('Monthly Activity Log'!K43="In Progress",'Monthly Activity Log'!K43="Pending"),'Monthly Activity Log'!L43,"")</f>
        <v/>
      </c>
    </row>
    <row r="113" ht="15.75" customHeight="1" s="65">
      <c r="A113" s="74">
        <f>IF(OR('Monthly Activity Log'!K44="In Progress",'Monthly Activity Log'!K44="Pending"),'Monthly Activity Log'!H44,"")</f>
        <v/>
      </c>
      <c r="B113" s="74">
        <f>IF(OR('Monthly Activity Log'!K44="In Progress",'Monthly Activity Log'!K44="Pending"),'Monthly Activity Log'!C44,"")</f>
        <v/>
      </c>
      <c r="C113" s="74">
        <f>IF(OR('Monthly Activity Log'!K44="In Progress",'Monthly Activity Log'!K44="Pending"),'Monthly Activity Log'!E44,"")</f>
        <v/>
      </c>
      <c r="D113" s="74">
        <f>IF(OR('Monthly Activity Log'!K44="In Progress",'Monthly Activity Log'!K44="Pending"),'Monthly Activity Log'!F44,"")</f>
        <v/>
      </c>
      <c r="E113" s="74">
        <f>IF(OR('Monthly Activity Log'!K44="In Progress",'Monthly Activity Log'!K44="Pending"),'Monthly Activity Log'!G44,"")</f>
        <v/>
      </c>
      <c r="F113" s="74">
        <f>IF(OR('Monthly Activity Log'!K44="In Progress",'Monthly Activity Log'!K44="Pending"),'Monthly Activity Log'!I44,"")</f>
        <v/>
      </c>
      <c r="G113" s="74">
        <f>IF(OR('Monthly Activity Log'!K44="In Progress",'Monthly Activity Log'!K44="Pending"),'Monthly Activity Log'!J44,"")</f>
        <v/>
      </c>
      <c r="H113" s="74">
        <f>IF(OR('Monthly Activity Log'!K44="In Progress",'Monthly Activity Log'!K44="Pending"),'Monthly Activity Log'!K44,"")</f>
        <v/>
      </c>
      <c r="I113" s="74">
        <f>IF(OR('Monthly Activity Log'!K44="In Progress",'Monthly Activity Log'!K44="Pending"),'Monthly Activity Log'!B44,"")</f>
        <v/>
      </c>
      <c r="J113" s="74">
        <f>IF(OR('Monthly Activity Log'!K44="In Progress",'Monthly Activity Log'!K44="Pending"),'Monthly Activity Log'!L44,"")</f>
        <v/>
      </c>
    </row>
    <row r="114" ht="15.75" customHeight="1" s="65">
      <c r="A114" s="70">
        <f>IF(OR('Monthly Activity Log'!K45="In Progress",'Monthly Activity Log'!K45="Pending"),'Monthly Activity Log'!H45,"")</f>
        <v/>
      </c>
      <c r="B114" s="70">
        <f>IF(OR('Monthly Activity Log'!K45="In Progress",'Monthly Activity Log'!K45="Pending"),'Monthly Activity Log'!C45,"")</f>
        <v/>
      </c>
      <c r="C114" s="70">
        <f>IF(OR('Monthly Activity Log'!K45="In Progress",'Monthly Activity Log'!K45="Pending"),'Monthly Activity Log'!E45,"")</f>
        <v/>
      </c>
      <c r="D114" s="70">
        <f>IF(OR('Monthly Activity Log'!K45="In Progress",'Monthly Activity Log'!K45="Pending"),'Monthly Activity Log'!F45,"")</f>
        <v/>
      </c>
      <c r="E114" s="70">
        <f>IF(OR('Monthly Activity Log'!K45="In Progress",'Monthly Activity Log'!K45="Pending"),'Monthly Activity Log'!G45,"")</f>
        <v/>
      </c>
      <c r="F114" s="70">
        <f>IF(OR('Monthly Activity Log'!K45="In Progress",'Monthly Activity Log'!K45="Pending"),'Monthly Activity Log'!I45,"")</f>
        <v/>
      </c>
      <c r="G114" s="70">
        <f>IF(OR('Monthly Activity Log'!K45="In Progress",'Monthly Activity Log'!K45="Pending"),'Monthly Activity Log'!J45,"")</f>
        <v/>
      </c>
      <c r="H114" s="70">
        <f>IF(OR('Monthly Activity Log'!K45="In Progress",'Monthly Activity Log'!K45="Pending"),'Monthly Activity Log'!K45,"")</f>
        <v/>
      </c>
      <c r="I114" s="70">
        <f>IF(OR('Monthly Activity Log'!K45="In Progress",'Monthly Activity Log'!K45="Pending"),'Monthly Activity Log'!B45,"")</f>
        <v/>
      </c>
      <c r="J114" s="70">
        <f>IF(OR('Monthly Activity Log'!K45="In Progress",'Monthly Activity Log'!K45="Pending"),'Monthly Activity Log'!L45,"")</f>
        <v/>
      </c>
    </row>
    <row r="115" ht="15.75" customHeight="1" s="65">
      <c r="A115" s="74">
        <f>IF(OR('Monthly Activity Log'!K46="In Progress",'Monthly Activity Log'!K46="Pending"),'Monthly Activity Log'!H46,"")</f>
        <v/>
      </c>
      <c r="B115" s="74">
        <f>IF(OR('Monthly Activity Log'!K46="In Progress",'Monthly Activity Log'!K46="Pending"),'Monthly Activity Log'!C46,"")</f>
        <v/>
      </c>
      <c r="C115" s="74">
        <f>IF(OR('Monthly Activity Log'!K46="In Progress",'Monthly Activity Log'!K46="Pending"),'Monthly Activity Log'!E46,"")</f>
        <v/>
      </c>
      <c r="D115" s="74">
        <f>IF(OR('Monthly Activity Log'!K46="In Progress",'Monthly Activity Log'!K46="Pending"),'Monthly Activity Log'!F46,"")</f>
        <v/>
      </c>
      <c r="E115" s="74">
        <f>IF(OR('Monthly Activity Log'!K46="In Progress",'Monthly Activity Log'!K46="Pending"),'Monthly Activity Log'!G46,"")</f>
        <v/>
      </c>
      <c r="F115" s="74">
        <f>IF(OR('Monthly Activity Log'!K46="In Progress",'Monthly Activity Log'!K46="Pending"),'Monthly Activity Log'!I46,"")</f>
        <v/>
      </c>
      <c r="G115" s="74">
        <f>IF(OR('Monthly Activity Log'!K46="In Progress",'Monthly Activity Log'!K46="Pending"),'Monthly Activity Log'!J46,"")</f>
        <v/>
      </c>
      <c r="H115" s="74">
        <f>IF(OR('Monthly Activity Log'!K46="In Progress",'Monthly Activity Log'!K46="Pending"),'Monthly Activity Log'!K46,"")</f>
        <v/>
      </c>
      <c r="I115" s="74">
        <f>IF(OR('Monthly Activity Log'!K46="In Progress",'Monthly Activity Log'!K46="Pending"),'Monthly Activity Log'!B46,"")</f>
        <v/>
      </c>
      <c r="J115" s="74">
        <f>IF(OR('Monthly Activity Log'!K46="In Progress",'Monthly Activity Log'!K46="Pending"),'Monthly Activity Log'!L46,"")</f>
        <v/>
      </c>
    </row>
    <row r="116" ht="15.75" customHeight="1" s="65">
      <c r="A116" s="70">
        <f>IF(OR('Monthly Activity Log'!K47="In Progress",'Monthly Activity Log'!K47="Pending"),'Monthly Activity Log'!H47,"")</f>
        <v/>
      </c>
      <c r="B116" s="70">
        <f>IF(OR('Monthly Activity Log'!K47="In Progress",'Monthly Activity Log'!K47="Pending"),'Monthly Activity Log'!C47,"")</f>
        <v/>
      </c>
      <c r="C116" s="70">
        <f>IF(OR('Monthly Activity Log'!K47="In Progress",'Monthly Activity Log'!K47="Pending"),'Monthly Activity Log'!E47,"")</f>
        <v/>
      </c>
      <c r="D116" s="70">
        <f>IF(OR('Monthly Activity Log'!K47="In Progress",'Monthly Activity Log'!K47="Pending"),'Monthly Activity Log'!F47,"")</f>
        <v/>
      </c>
      <c r="E116" s="70">
        <f>IF(OR('Monthly Activity Log'!K47="In Progress",'Monthly Activity Log'!K47="Pending"),'Monthly Activity Log'!G47,"")</f>
        <v/>
      </c>
      <c r="F116" s="70">
        <f>IF(OR('Monthly Activity Log'!K47="In Progress",'Monthly Activity Log'!K47="Pending"),'Monthly Activity Log'!I47,"")</f>
        <v/>
      </c>
      <c r="G116" s="70">
        <f>IF(OR('Monthly Activity Log'!K47="In Progress",'Monthly Activity Log'!K47="Pending"),'Monthly Activity Log'!J47,"")</f>
        <v/>
      </c>
      <c r="H116" s="70">
        <f>IF(OR('Monthly Activity Log'!K47="In Progress",'Monthly Activity Log'!K47="Pending"),'Monthly Activity Log'!K47,"")</f>
        <v/>
      </c>
      <c r="I116" s="70">
        <f>IF(OR('Monthly Activity Log'!K47="In Progress",'Monthly Activity Log'!K47="Pending"),'Monthly Activity Log'!B47,"")</f>
        <v/>
      </c>
      <c r="J116" s="70">
        <f>IF(OR('Monthly Activity Log'!K47="In Progress",'Monthly Activity Log'!K47="Pending"),'Monthly Activity Log'!L47,"")</f>
        <v/>
      </c>
    </row>
    <row r="117" ht="15.75" customHeight="1" s="65">
      <c r="A117" s="74">
        <f>IF(OR('Monthly Activity Log'!K48="In Progress",'Monthly Activity Log'!K48="Pending"),'Monthly Activity Log'!H48,"")</f>
        <v/>
      </c>
      <c r="B117" s="74">
        <f>IF(OR('Monthly Activity Log'!K48="In Progress",'Monthly Activity Log'!K48="Pending"),'Monthly Activity Log'!C48,"")</f>
        <v/>
      </c>
      <c r="C117" s="74">
        <f>IF(OR('Monthly Activity Log'!K48="In Progress",'Monthly Activity Log'!K48="Pending"),'Monthly Activity Log'!E48,"")</f>
        <v/>
      </c>
      <c r="D117" s="74">
        <f>IF(OR('Monthly Activity Log'!K48="In Progress",'Monthly Activity Log'!K48="Pending"),'Monthly Activity Log'!F48,"")</f>
        <v/>
      </c>
      <c r="E117" s="74">
        <f>IF(OR('Monthly Activity Log'!K48="In Progress",'Monthly Activity Log'!K48="Pending"),'Monthly Activity Log'!G48,"")</f>
        <v/>
      </c>
      <c r="F117" s="74">
        <f>IF(OR('Monthly Activity Log'!K48="In Progress",'Monthly Activity Log'!K48="Pending"),'Monthly Activity Log'!I48,"")</f>
        <v/>
      </c>
      <c r="G117" s="74">
        <f>IF(OR('Monthly Activity Log'!K48="In Progress",'Monthly Activity Log'!K48="Pending"),'Monthly Activity Log'!J48,"")</f>
        <v/>
      </c>
      <c r="H117" s="74">
        <f>IF(OR('Monthly Activity Log'!K48="In Progress",'Monthly Activity Log'!K48="Pending"),'Monthly Activity Log'!K48,"")</f>
        <v/>
      </c>
      <c r="I117" s="74">
        <f>IF(OR('Monthly Activity Log'!K48="In Progress",'Monthly Activity Log'!K48="Pending"),'Monthly Activity Log'!B48,"")</f>
        <v/>
      </c>
      <c r="J117" s="74">
        <f>IF(OR('Monthly Activity Log'!K48="In Progress",'Monthly Activity Log'!K48="Pending"),'Monthly Activity Log'!L48,"")</f>
        <v/>
      </c>
    </row>
    <row r="118" ht="15.75" customHeight="1" s="65">
      <c r="A118" s="70">
        <f>IF(OR('Monthly Activity Log'!K49="In Progress",'Monthly Activity Log'!K49="Pending"),'Monthly Activity Log'!H49,"")</f>
        <v/>
      </c>
      <c r="B118" s="70">
        <f>IF(OR('Monthly Activity Log'!K49="In Progress",'Monthly Activity Log'!K49="Pending"),'Monthly Activity Log'!C49,"")</f>
        <v/>
      </c>
      <c r="C118" s="70">
        <f>IF(OR('Monthly Activity Log'!K49="In Progress",'Monthly Activity Log'!K49="Pending"),'Monthly Activity Log'!E49,"")</f>
        <v/>
      </c>
      <c r="D118" s="70">
        <f>IF(OR('Monthly Activity Log'!K49="In Progress",'Monthly Activity Log'!K49="Pending"),'Monthly Activity Log'!F49,"")</f>
        <v/>
      </c>
      <c r="E118" s="70">
        <f>IF(OR('Monthly Activity Log'!K49="In Progress",'Monthly Activity Log'!K49="Pending"),'Monthly Activity Log'!G49,"")</f>
        <v/>
      </c>
      <c r="F118" s="70">
        <f>IF(OR('Monthly Activity Log'!K49="In Progress",'Monthly Activity Log'!K49="Pending"),'Monthly Activity Log'!I49,"")</f>
        <v/>
      </c>
      <c r="G118" s="70">
        <f>IF(OR('Monthly Activity Log'!K49="In Progress",'Monthly Activity Log'!K49="Pending"),'Monthly Activity Log'!J49,"")</f>
        <v/>
      </c>
      <c r="H118" s="70">
        <f>IF(OR('Monthly Activity Log'!K49="In Progress",'Monthly Activity Log'!K49="Pending"),'Monthly Activity Log'!K49,"")</f>
        <v/>
      </c>
      <c r="I118" s="70">
        <f>IF(OR('Monthly Activity Log'!K49="In Progress",'Monthly Activity Log'!K49="Pending"),'Monthly Activity Log'!B49,"")</f>
        <v/>
      </c>
      <c r="J118" s="70">
        <f>IF(OR('Monthly Activity Log'!K49="In Progress",'Monthly Activity Log'!K49="Pending"),'Monthly Activity Log'!L49,"")</f>
        <v/>
      </c>
    </row>
    <row r="119" ht="15.75" customHeight="1" s="65">
      <c r="A119" s="74">
        <f>IF(OR('Monthly Activity Log'!K50="In Progress",'Monthly Activity Log'!K50="Pending"),'Monthly Activity Log'!H50,"")</f>
        <v/>
      </c>
      <c r="B119" s="74">
        <f>IF(OR('Monthly Activity Log'!K50="In Progress",'Monthly Activity Log'!K50="Pending"),'Monthly Activity Log'!C50,"")</f>
        <v/>
      </c>
      <c r="C119" s="74">
        <f>IF(OR('Monthly Activity Log'!K50="In Progress",'Monthly Activity Log'!K50="Pending"),'Monthly Activity Log'!E50,"")</f>
        <v/>
      </c>
      <c r="D119" s="74">
        <f>IF(OR('Monthly Activity Log'!K50="In Progress",'Monthly Activity Log'!K50="Pending"),'Monthly Activity Log'!F50,"")</f>
        <v/>
      </c>
      <c r="E119" s="74">
        <f>IF(OR('Monthly Activity Log'!K50="In Progress",'Monthly Activity Log'!K50="Pending"),'Monthly Activity Log'!G50,"")</f>
        <v/>
      </c>
      <c r="F119" s="74">
        <f>IF(OR('Monthly Activity Log'!K50="In Progress",'Monthly Activity Log'!K50="Pending"),'Monthly Activity Log'!I50,"")</f>
        <v/>
      </c>
      <c r="G119" s="74">
        <f>IF(OR('Monthly Activity Log'!K50="In Progress",'Monthly Activity Log'!K50="Pending"),'Monthly Activity Log'!J50,"")</f>
        <v/>
      </c>
      <c r="H119" s="74">
        <f>IF(OR('Monthly Activity Log'!K50="In Progress",'Monthly Activity Log'!K50="Pending"),'Monthly Activity Log'!K50,"")</f>
        <v/>
      </c>
      <c r="I119" s="74">
        <f>IF(OR('Monthly Activity Log'!K50="In Progress",'Monthly Activity Log'!K50="Pending"),'Monthly Activity Log'!B50,"")</f>
        <v/>
      </c>
      <c r="J119" s="74">
        <f>IF(OR('Monthly Activity Log'!K50="In Progress",'Monthly Activity Log'!K50="Pending"),'Monthly Activity Log'!L50,"")</f>
        <v/>
      </c>
    </row>
    <row r="120" ht="15.75" customHeight="1" s="65">
      <c r="A120" s="70">
        <f>IF(OR('Monthly Activity Log'!K51="In Progress",'Monthly Activity Log'!K51="Pending"),'Monthly Activity Log'!H51,"")</f>
        <v/>
      </c>
      <c r="B120" s="70">
        <f>IF(OR('Monthly Activity Log'!K51="In Progress",'Monthly Activity Log'!K51="Pending"),'Monthly Activity Log'!C51,"")</f>
        <v/>
      </c>
      <c r="C120" s="70">
        <f>IF(OR('Monthly Activity Log'!K51="In Progress",'Monthly Activity Log'!K51="Pending"),'Monthly Activity Log'!E51,"")</f>
        <v/>
      </c>
      <c r="D120" s="70">
        <f>IF(OR('Monthly Activity Log'!K51="In Progress",'Monthly Activity Log'!K51="Pending"),'Monthly Activity Log'!F51,"")</f>
        <v/>
      </c>
      <c r="E120" s="70">
        <f>IF(OR('Monthly Activity Log'!K51="In Progress",'Monthly Activity Log'!K51="Pending"),'Monthly Activity Log'!G51,"")</f>
        <v/>
      </c>
      <c r="F120" s="70">
        <f>IF(OR('Monthly Activity Log'!K51="In Progress",'Monthly Activity Log'!K51="Pending"),'Monthly Activity Log'!I51,"")</f>
        <v/>
      </c>
      <c r="G120" s="70">
        <f>IF(OR('Monthly Activity Log'!K51="In Progress",'Monthly Activity Log'!K51="Pending"),'Monthly Activity Log'!J51,"")</f>
        <v/>
      </c>
      <c r="H120" s="70">
        <f>IF(OR('Monthly Activity Log'!K51="In Progress",'Monthly Activity Log'!K51="Pending"),'Monthly Activity Log'!K51,"")</f>
        <v/>
      </c>
      <c r="I120" s="70">
        <f>IF(OR('Monthly Activity Log'!K51="In Progress",'Monthly Activity Log'!K51="Pending"),'Monthly Activity Log'!B51,"")</f>
        <v/>
      </c>
      <c r="J120" s="70">
        <f>IF(OR('Monthly Activity Log'!K51="In Progress",'Monthly Activity Log'!K51="Pending"),'Monthly Activity Log'!L51,"")</f>
        <v/>
      </c>
    </row>
    <row r="121" ht="15.75" customHeight="1" s="65">
      <c r="A121" s="74">
        <f>IF(OR('Monthly Activity Log'!K52="In Progress",'Monthly Activity Log'!K52="Pending"),'Monthly Activity Log'!H52,"")</f>
        <v/>
      </c>
      <c r="B121" s="74">
        <f>IF(OR('Monthly Activity Log'!K52="In Progress",'Monthly Activity Log'!K52="Pending"),'Monthly Activity Log'!C52,"")</f>
        <v/>
      </c>
      <c r="C121" s="74">
        <f>IF(OR('Monthly Activity Log'!K52="In Progress",'Monthly Activity Log'!K52="Pending"),'Monthly Activity Log'!E52,"")</f>
        <v/>
      </c>
      <c r="D121" s="74">
        <f>IF(OR('Monthly Activity Log'!K52="In Progress",'Monthly Activity Log'!K52="Pending"),'Monthly Activity Log'!F52,"")</f>
        <v/>
      </c>
      <c r="E121" s="74">
        <f>IF(OR('Monthly Activity Log'!K52="In Progress",'Monthly Activity Log'!K52="Pending"),'Monthly Activity Log'!G52,"")</f>
        <v/>
      </c>
      <c r="F121" s="74">
        <f>IF(OR('Monthly Activity Log'!K52="In Progress",'Monthly Activity Log'!K52="Pending"),'Monthly Activity Log'!I52,"")</f>
        <v/>
      </c>
      <c r="G121" s="74">
        <f>IF(OR('Monthly Activity Log'!K52="In Progress",'Monthly Activity Log'!K52="Pending"),'Monthly Activity Log'!J52,"")</f>
        <v/>
      </c>
      <c r="H121" s="74">
        <f>IF(OR('Monthly Activity Log'!K52="In Progress",'Monthly Activity Log'!K52="Pending"),'Monthly Activity Log'!K52,"")</f>
        <v/>
      </c>
      <c r="I121" s="74">
        <f>IF(OR('Monthly Activity Log'!K52="In Progress",'Monthly Activity Log'!K52="Pending"),'Monthly Activity Log'!B52,"")</f>
        <v/>
      </c>
      <c r="J121" s="74">
        <f>IF(OR('Monthly Activity Log'!K52="In Progress",'Monthly Activity Log'!K52="Pending"),'Monthly Activity Log'!L52,"")</f>
        <v/>
      </c>
    </row>
    <row r="122" ht="15.75" customHeight="1" s="65">
      <c r="A122" s="70">
        <f>IF(OR('Monthly Activity Log'!K53="In Progress",'Monthly Activity Log'!K53="Pending"),'Monthly Activity Log'!H53,"")</f>
        <v/>
      </c>
      <c r="B122" s="70">
        <f>IF(OR('Monthly Activity Log'!K53="In Progress",'Monthly Activity Log'!K53="Pending"),'Monthly Activity Log'!C53,"")</f>
        <v/>
      </c>
      <c r="C122" s="70">
        <f>IF(OR('Monthly Activity Log'!K53="In Progress",'Monthly Activity Log'!K53="Pending"),'Monthly Activity Log'!E53,"")</f>
        <v/>
      </c>
      <c r="D122" s="70">
        <f>IF(OR('Monthly Activity Log'!K53="In Progress",'Monthly Activity Log'!K53="Pending"),'Monthly Activity Log'!F53,"")</f>
        <v/>
      </c>
      <c r="E122" s="70">
        <f>IF(OR('Monthly Activity Log'!K53="In Progress",'Monthly Activity Log'!K53="Pending"),'Monthly Activity Log'!G53,"")</f>
        <v/>
      </c>
      <c r="F122" s="70">
        <f>IF(OR('Monthly Activity Log'!K53="In Progress",'Monthly Activity Log'!K53="Pending"),'Monthly Activity Log'!I53,"")</f>
        <v/>
      </c>
      <c r="G122" s="70">
        <f>IF(OR('Monthly Activity Log'!K53="In Progress",'Monthly Activity Log'!K53="Pending"),'Monthly Activity Log'!J53,"")</f>
        <v/>
      </c>
      <c r="H122" s="70">
        <f>IF(OR('Monthly Activity Log'!K53="In Progress",'Monthly Activity Log'!K53="Pending"),'Monthly Activity Log'!K53,"")</f>
        <v/>
      </c>
      <c r="I122" s="70">
        <f>IF(OR('Monthly Activity Log'!K53="In Progress",'Monthly Activity Log'!K53="Pending"),'Monthly Activity Log'!B53,"")</f>
        <v/>
      </c>
      <c r="J122" s="70">
        <f>IF(OR('Monthly Activity Log'!K53="In Progress",'Monthly Activity Log'!K53="Pending"),'Monthly Activity Log'!L53,"")</f>
        <v/>
      </c>
    </row>
    <row r="123" ht="15.75" customHeight="1" s="65">
      <c r="A123" s="74">
        <f>IF(OR('Monthly Activity Log'!K54="In Progress",'Monthly Activity Log'!K54="Pending"),'Monthly Activity Log'!H54,"")</f>
        <v/>
      </c>
      <c r="B123" s="74">
        <f>IF(OR('Monthly Activity Log'!K54="In Progress",'Monthly Activity Log'!K54="Pending"),'Monthly Activity Log'!C54,"")</f>
        <v/>
      </c>
      <c r="C123" s="74">
        <f>IF(OR('Monthly Activity Log'!K54="In Progress",'Monthly Activity Log'!K54="Pending"),'Monthly Activity Log'!E54,"")</f>
        <v/>
      </c>
      <c r="D123" s="74">
        <f>IF(OR('Monthly Activity Log'!K54="In Progress",'Monthly Activity Log'!K54="Pending"),'Monthly Activity Log'!F54,"")</f>
        <v/>
      </c>
      <c r="E123" s="74">
        <f>IF(OR('Monthly Activity Log'!K54="In Progress",'Monthly Activity Log'!K54="Pending"),'Monthly Activity Log'!G54,"")</f>
        <v/>
      </c>
      <c r="F123" s="74">
        <f>IF(OR('Monthly Activity Log'!K54="In Progress",'Monthly Activity Log'!K54="Pending"),'Monthly Activity Log'!I54,"")</f>
        <v/>
      </c>
      <c r="G123" s="74">
        <f>IF(OR('Monthly Activity Log'!K54="In Progress",'Monthly Activity Log'!K54="Pending"),'Monthly Activity Log'!J54,"")</f>
        <v/>
      </c>
      <c r="H123" s="74">
        <f>IF(OR('Monthly Activity Log'!K54="In Progress",'Monthly Activity Log'!K54="Pending"),'Monthly Activity Log'!K54,"")</f>
        <v/>
      </c>
      <c r="I123" s="74">
        <f>IF(OR('Monthly Activity Log'!K54="In Progress",'Monthly Activity Log'!K54="Pending"),'Monthly Activity Log'!B54,"")</f>
        <v/>
      </c>
      <c r="J123" s="74">
        <f>IF(OR('Monthly Activity Log'!K54="In Progress",'Monthly Activity Log'!K54="Pending"),'Monthly Activity Log'!L54,"")</f>
        <v/>
      </c>
    </row>
    <row r="124" ht="15.75" customHeight="1" s="65">
      <c r="A124" s="70">
        <f>IF(OR('Monthly Activity Log'!K55="In Progress",'Monthly Activity Log'!K55="Pending"),'Monthly Activity Log'!H55,"")</f>
        <v/>
      </c>
      <c r="B124" s="70">
        <f>IF(OR('Monthly Activity Log'!K55="In Progress",'Monthly Activity Log'!K55="Pending"),'Monthly Activity Log'!C55,"")</f>
        <v/>
      </c>
      <c r="C124" s="70">
        <f>IF(OR('Monthly Activity Log'!K55="In Progress",'Monthly Activity Log'!K55="Pending"),'Monthly Activity Log'!E55,"")</f>
        <v/>
      </c>
      <c r="D124" s="70">
        <f>IF(OR('Monthly Activity Log'!K55="In Progress",'Monthly Activity Log'!K55="Pending"),'Monthly Activity Log'!F55,"")</f>
        <v/>
      </c>
      <c r="E124" s="70">
        <f>IF(OR('Monthly Activity Log'!K55="In Progress",'Monthly Activity Log'!K55="Pending"),'Monthly Activity Log'!G55,"")</f>
        <v/>
      </c>
      <c r="F124" s="70">
        <f>IF(OR('Monthly Activity Log'!K55="In Progress",'Monthly Activity Log'!K55="Pending"),'Monthly Activity Log'!I55,"")</f>
        <v/>
      </c>
      <c r="G124" s="70">
        <f>IF(OR('Monthly Activity Log'!K55="In Progress",'Monthly Activity Log'!K55="Pending"),'Monthly Activity Log'!J55,"")</f>
        <v/>
      </c>
      <c r="H124" s="70">
        <f>IF(OR('Monthly Activity Log'!K55="In Progress",'Monthly Activity Log'!K55="Pending"),'Monthly Activity Log'!K55,"")</f>
        <v/>
      </c>
      <c r="I124" s="70">
        <f>IF(OR('Monthly Activity Log'!K55="In Progress",'Monthly Activity Log'!K55="Pending"),'Monthly Activity Log'!B55,"")</f>
        <v/>
      </c>
      <c r="J124" s="70">
        <f>IF(OR('Monthly Activity Log'!K55="In Progress",'Monthly Activity Log'!K55="Pending"),'Monthly Activity Log'!L55,"")</f>
        <v/>
      </c>
    </row>
    <row r="125" ht="15.75" customHeight="1" s="65">
      <c r="A125" s="74">
        <f>IF(OR('Monthly Activity Log'!K56="In Progress",'Monthly Activity Log'!K56="Pending"),'Monthly Activity Log'!H56,"")</f>
        <v/>
      </c>
      <c r="B125" s="74">
        <f>IF(OR('Monthly Activity Log'!K56="In Progress",'Monthly Activity Log'!K56="Pending"),'Monthly Activity Log'!C56,"")</f>
        <v/>
      </c>
      <c r="C125" s="74">
        <f>IF(OR('Monthly Activity Log'!K56="In Progress",'Monthly Activity Log'!K56="Pending"),'Monthly Activity Log'!E56,"")</f>
        <v/>
      </c>
      <c r="D125" s="74">
        <f>IF(OR('Monthly Activity Log'!K56="In Progress",'Monthly Activity Log'!K56="Pending"),'Monthly Activity Log'!F56,"")</f>
        <v/>
      </c>
      <c r="E125" s="74">
        <f>IF(OR('Monthly Activity Log'!K56="In Progress",'Monthly Activity Log'!K56="Pending"),'Monthly Activity Log'!G56,"")</f>
        <v/>
      </c>
      <c r="F125" s="74">
        <f>IF(OR('Monthly Activity Log'!K56="In Progress",'Monthly Activity Log'!K56="Pending"),'Monthly Activity Log'!I56,"")</f>
        <v/>
      </c>
      <c r="G125" s="74">
        <f>IF(OR('Monthly Activity Log'!K56="In Progress",'Monthly Activity Log'!K56="Pending"),'Monthly Activity Log'!J56,"")</f>
        <v/>
      </c>
      <c r="H125" s="74">
        <f>IF(OR('Monthly Activity Log'!K56="In Progress",'Monthly Activity Log'!K56="Pending"),'Monthly Activity Log'!K56,"")</f>
        <v/>
      </c>
      <c r="I125" s="74">
        <f>IF(OR('Monthly Activity Log'!K56="In Progress",'Monthly Activity Log'!K56="Pending"),'Monthly Activity Log'!B56,"")</f>
        <v/>
      </c>
      <c r="J125" s="74">
        <f>IF(OR('Monthly Activity Log'!K56="In Progress",'Monthly Activity Log'!K56="Pending"),'Monthly Activity Log'!L56,"")</f>
        <v/>
      </c>
    </row>
    <row r="126" ht="15.75" customHeight="1" s="65">
      <c r="A126" s="70">
        <f>IF(OR('Monthly Activity Log'!K57="In Progress",'Monthly Activity Log'!K57="Pending"),'Monthly Activity Log'!H57,"")</f>
        <v/>
      </c>
      <c r="B126" s="70">
        <f>IF(OR('Monthly Activity Log'!K57="In Progress",'Monthly Activity Log'!K57="Pending"),'Monthly Activity Log'!C57,"")</f>
        <v/>
      </c>
      <c r="C126" s="70">
        <f>IF(OR('Monthly Activity Log'!K57="In Progress",'Monthly Activity Log'!K57="Pending"),'Monthly Activity Log'!E57,"")</f>
        <v/>
      </c>
      <c r="D126" s="70">
        <f>IF(OR('Monthly Activity Log'!K57="In Progress",'Monthly Activity Log'!K57="Pending"),'Monthly Activity Log'!F57,"")</f>
        <v/>
      </c>
      <c r="E126" s="70">
        <f>IF(OR('Monthly Activity Log'!K57="In Progress",'Monthly Activity Log'!K57="Pending"),'Monthly Activity Log'!G57,"")</f>
        <v/>
      </c>
      <c r="F126" s="70">
        <f>IF(OR('Monthly Activity Log'!K57="In Progress",'Monthly Activity Log'!K57="Pending"),'Monthly Activity Log'!I57,"")</f>
        <v/>
      </c>
      <c r="G126" s="70">
        <f>IF(OR('Monthly Activity Log'!K57="In Progress",'Monthly Activity Log'!K57="Pending"),'Monthly Activity Log'!J57,"")</f>
        <v/>
      </c>
      <c r="H126" s="70">
        <f>IF(OR('Monthly Activity Log'!K57="In Progress",'Monthly Activity Log'!K57="Pending"),'Monthly Activity Log'!K57,"")</f>
        <v/>
      </c>
      <c r="I126" s="70">
        <f>IF(OR('Monthly Activity Log'!K57="In Progress",'Monthly Activity Log'!K57="Pending"),'Monthly Activity Log'!B57,"")</f>
        <v/>
      </c>
      <c r="J126" s="70">
        <f>IF(OR('Monthly Activity Log'!K57="In Progress",'Monthly Activity Log'!K57="Pending"),'Monthly Activity Log'!L57,"")</f>
        <v/>
      </c>
    </row>
    <row r="127" ht="15.75" customHeight="1" s="65">
      <c r="A127" s="74">
        <f>IF(OR('Monthly Activity Log'!K58="In Progress",'Monthly Activity Log'!K58="Pending"),'Monthly Activity Log'!H58,"")</f>
        <v/>
      </c>
      <c r="B127" s="74">
        <f>IF(OR('Monthly Activity Log'!K58="In Progress",'Monthly Activity Log'!K58="Pending"),'Monthly Activity Log'!C58,"")</f>
        <v/>
      </c>
      <c r="C127" s="74">
        <f>IF(OR('Monthly Activity Log'!K58="In Progress",'Monthly Activity Log'!K58="Pending"),'Monthly Activity Log'!E58,"")</f>
        <v/>
      </c>
      <c r="D127" s="74">
        <f>IF(OR('Monthly Activity Log'!K58="In Progress",'Monthly Activity Log'!K58="Pending"),'Monthly Activity Log'!F58,"")</f>
        <v/>
      </c>
      <c r="E127" s="74">
        <f>IF(OR('Monthly Activity Log'!K58="In Progress",'Monthly Activity Log'!K58="Pending"),'Monthly Activity Log'!G58,"")</f>
        <v/>
      </c>
      <c r="F127" s="74">
        <f>IF(OR('Monthly Activity Log'!K58="In Progress",'Monthly Activity Log'!K58="Pending"),'Monthly Activity Log'!I58,"")</f>
        <v/>
      </c>
      <c r="G127" s="74">
        <f>IF(OR('Monthly Activity Log'!K58="In Progress",'Monthly Activity Log'!K58="Pending"),'Monthly Activity Log'!J58,"")</f>
        <v/>
      </c>
      <c r="H127" s="74">
        <f>IF(OR('Monthly Activity Log'!K58="In Progress",'Monthly Activity Log'!K58="Pending"),'Monthly Activity Log'!K58,"")</f>
        <v/>
      </c>
      <c r="I127" s="74">
        <f>IF(OR('Monthly Activity Log'!K58="In Progress",'Monthly Activity Log'!K58="Pending"),'Monthly Activity Log'!B58,"")</f>
        <v/>
      </c>
      <c r="J127" s="74">
        <f>IF(OR('Monthly Activity Log'!K58="In Progress",'Monthly Activity Log'!K58="Pending"),'Monthly Activity Log'!L58,"")</f>
        <v/>
      </c>
    </row>
    <row r="128" ht="15.75" customHeight="1" s="65">
      <c r="A128" s="70">
        <f>IF(OR('Monthly Activity Log'!K59="In Progress",'Monthly Activity Log'!K59="Pending"),'Monthly Activity Log'!H59,"")</f>
        <v/>
      </c>
      <c r="B128" s="70">
        <f>IF(OR('Monthly Activity Log'!K59="In Progress",'Monthly Activity Log'!K59="Pending"),'Monthly Activity Log'!C59,"")</f>
        <v/>
      </c>
      <c r="C128" s="70">
        <f>IF(OR('Monthly Activity Log'!K59="In Progress",'Monthly Activity Log'!K59="Pending"),'Monthly Activity Log'!E59,"")</f>
        <v/>
      </c>
      <c r="D128" s="70">
        <f>IF(OR('Monthly Activity Log'!K59="In Progress",'Monthly Activity Log'!K59="Pending"),'Monthly Activity Log'!F59,"")</f>
        <v/>
      </c>
      <c r="E128" s="70">
        <f>IF(OR('Monthly Activity Log'!K59="In Progress",'Monthly Activity Log'!K59="Pending"),'Monthly Activity Log'!G59,"")</f>
        <v/>
      </c>
      <c r="F128" s="70">
        <f>IF(OR('Monthly Activity Log'!K59="In Progress",'Monthly Activity Log'!K59="Pending"),'Monthly Activity Log'!I59,"")</f>
        <v/>
      </c>
      <c r="G128" s="70">
        <f>IF(OR('Monthly Activity Log'!K59="In Progress",'Monthly Activity Log'!K59="Pending"),'Monthly Activity Log'!J59,"")</f>
        <v/>
      </c>
      <c r="H128" s="70">
        <f>IF(OR('Monthly Activity Log'!K59="In Progress",'Monthly Activity Log'!K59="Pending"),'Monthly Activity Log'!K59,"")</f>
        <v/>
      </c>
      <c r="I128" s="70">
        <f>IF(OR('Monthly Activity Log'!K59="In Progress",'Monthly Activity Log'!K59="Pending"),'Monthly Activity Log'!B59,"")</f>
        <v/>
      </c>
      <c r="J128" s="70">
        <f>IF(OR('Monthly Activity Log'!K59="In Progress",'Monthly Activity Log'!K59="Pending"),'Monthly Activity Log'!L59,"")</f>
        <v/>
      </c>
    </row>
    <row r="129" ht="15.75" customHeight="1" s="65">
      <c r="A129" s="74">
        <f>IF(OR('Monthly Activity Log'!K60="In Progress",'Monthly Activity Log'!K60="Pending"),'Monthly Activity Log'!H60,"")</f>
        <v/>
      </c>
      <c r="B129" s="74">
        <f>IF(OR('Monthly Activity Log'!K60="In Progress",'Monthly Activity Log'!K60="Pending"),'Monthly Activity Log'!C60,"")</f>
        <v/>
      </c>
      <c r="C129" s="74">
        <f>IF(OR('Monthly Activity Log'!K60="In Progress",'Monthly Activity Log'!K60="Pending"),'Monthly Activity Log'!E60,"")</f>
        <v/>
      </c>
      <c r="D129" s="74">
        <f>IF(OR('Monthly Activity Log'!K60="In Progress",'Monthly Activity Log'!K60="Pending"),'Monthly Activity Log'!F60,"")</f>
        <v/>
      </c>
      <c r="E129" s="74">
        <f>IF(OR('Monthly Activity Log'!K60="In Progress",'Monthly Activity Log'!K60="Pending"),'Monthly Activity Log'!G60,"")</f>
        <v/>
      </c>
      <c r="F129" s="74">
        <f>IF(OR('Monthly Activity Log'!K60="In Progress",'Monthly Activity Log'!K60="Pending"),'Monthly Activity Log'!I60,"")</f>
        <v/>
      </c>
      <c r="G129" s="74">
        <f>IF(OR('Monthly Activity Log'!K60="In Progress",'Monthly Activity Log'!K60="Pending"),'Monthly Activity Log'!J60,"")</f>
        <v/>
      </c>
      <c r="H129" s="74">
        <f>IF(OR('Monthly Activity Log'!K60="In Progress",'Monthly Activity Log'!K60="Pending"),'Monthly Activity Log'!K60,"")</f>
        <v/>
      </c>
      <c r="I129" s="74">
        <f>IF(OR('Monthly Activity Log'!K60="In Progress",'Monthly Activity Log'!K60="Pending"),'Monthly Activity Log'!B60,"")</f>
        <v/>
      </c>
      <c r="J129" s="74">
        <f>IF(OR('Monthly Activity Log'!K60="In Progress",'Monthly Activity Log'!K60="Pending"),'Monthly Activity Log'!L60,"")</f>
        <v/>
      </c>
    </row>
    <row r="130" ht="15.75" customHeight="1" s="65">
      <c r="A130" s="70">
        <f>IF(OR('Monthly Activity Log'!K61="In Progress",'Monthly Activity Log'!K61="Pending"),'Monthly Activity Log'!H61,"")</f>
        <v/>
      </c>
      <c r="B130" s="70">
        <f>IF(OR('Monthly Activity Log'!K61="In Progress",'Monthly Activity Log'!K61="Pending"),'Monthly Activity Log'!C61,"")</f>
        <v/>
      </c>
      <c r="C130" s="70">
        <f>IF(OR('Monthly Activity Log'!K61="In Progress",'Monthly Activity Log'!K61="Pending"),'Monthly Activity Log'!E61,"")</f>
        <v/>
      </c>
      <c r="D130" s="70">
        <f>IF(OR('Monthly Activity Log'!K61="In Progress",'Monthly Activity Log'!K61="Pending"),'Monthly Activity Log'!F61,"")</f>
        <v/>
      </c>
      <c r="E130" s="70">
        <f>IF(OR('Monthly Activity Log'!K61="In Progress",'Monthly Activity Log'!K61="Pending"),'Monthly Activity Log'!G61,"")</f>
        <v/>
      </c>
      <c r="F130" s="70">
        <f>IF(OR('Monthly Activity Log'!K61="In Progress",'Monthly Activity Log'!K61="Pending"),'Monthly Activity Log'!I61,"")</f>
        <v/>
      </c>
      <c r="G130" s="70">
        <f>IF(OR('Monthly Activity Log'!K61="In Progress",'Monthly Activity Log'!K61="Pending"),'Monthly Activity Log'!J61,"")</f>
        <v/>
      </c>
      <c r="H130" s="70">
        <f>IF(OR('Monthly Activity Log'!K61="In Progress",'Monthly Activity Log'!K61="Pending"),'Monthly Activity Log'!K61,"")</f>
        <v/>
      </c>
      <c r="I130" s="70">
        <f>IF(OR('Monthly Activity Log'!K61="In Progress",'Monthly Activity Log'!K61="Pending"),'Monthly Activity Log'!B61,"")</f>
        <v/>
      </c>
      <c r="J130" s="70">
        <f>IF(OR('Monthly Activity Log'!K61="In Progress",'Monthly Activity Log'!K61="Pending"),'Monthly Activity Log'!L61,"")</f>
        <v/>
      </c>
    </row>
    <row r="131" ht="15.75" customHeight="1" s="65">
      <c r="A131" s="74">
        <f>IF(OR('Monthly Activity Log'!K62="In Progress",'Monthly Activity Log'!K62="Pending"),'Monthly Activity Log'!H62,"")</f>
        <v/>
      </c>
      <c r="B131" s="74">
        <f>IF(OR('Monthly Activity Log'!K62="In Progress",'Monthly Activity Log'!K62="Pending"),'Monthly Activity Log'!C62,"")</f>
        <v/>
      </c>
      <c r="C131" s="74">
        <f>IF(OR('Monthly Activity Log'!K62="In Progress",'Monthly Activity Log'!K62="Pending"),'Monthly Activity Log'!E62,"")</f>
        <v/>
      </c>
      <c r="D131" s="74">
        <f>IF(OR('Monthly Activity Log'!K62="In Progress",'Monthly Activity Log'!K62="Pending"),'Monthly Activity Log'!F62,"")</f>
        <v/>
      </c>
      <c r="E131" s="74">
        <f>IF(OR('Monthly Activity Log'!K62="In Progress",'Monthly Activity Log'!K62="Pending"),'Monthly Activity Log'!G62,"")</f>
        <v/>
      </c>
      <c r="F131" s="74">
        <f>IF(OR('Monthly Activity Log'!K62="In Progress",'Monthly Activity Log'!K62="Pending"),'Monthly Activity Log'!I62,"")</f>
        <v/>
      </c>
      <c r="G131" s="74">
        <f>IF(OR('Monthly Activity Log'!K62="In Progress",'Monthly Activity Log'!K62="Pending"),'Monthly Activity Log'!J62,"")</f>
        <v/>
      </c>
      <c r="H131" s="74">
        <f>IF(OR('Monthly Activity Log'!K62="In Progress",'Monthly Activity Log'!K62="Pending"),'Monthly Activity Log'!K62,"")</f>
        <v/>
      </c>
      <c r="I131" s="74">
        <f>IF(OR('Monthly Activity Log'!K62="In Progress",'Monthly Activity Log'!K62="Pending"),'Monthly Activity Log'!B62,"")</f>
        <v/>
      </c>
      <c r="J131" s="74">
        <f>IF(OR('Monthly Activity Log'!K62="In Progress",'Monthly Activity Log'!K62="Pending"),'Monthly Activity Log'!L62,"")</f>
        <v/>
      </c>
    </row>
    <row r="132" ht="15.75" customHeight="1" s="65">
      <c r="A132" s="70">
        <f>IF(OR('Monthly Activity Log'!K63="In Progress",'Monthly Activity Log'!K63="Pending"),'Monthly Activity Log'!H63,"")</f>
        <v/>
      </c>
      <c r="B132" s="70">
        <f>IF(OR('Monthly Activity Log'!K63="In Progress",'Monthly Activity Log'!K63="Pending"),'Monthly Activity Log'!C63,"")</f>
        <v/>
      </c>
      <c r="C132" s="70">
        <f>IF(OR('Monthly Activity Log'!K63="In Progress",'Monthly Activity Log'!K63="Pending"),'Monthly Activity Log'!E63,"")</f>
        <v/>
      </c>
      <c r="D132" s="70">
        <f>IF(OR('Monthly Activity Log'!K63="In Progress",'Monthly Activity Log'!K63="Pending"),'Monthly Activity Log'!F63,"")</f>
        <v/>
      </c>
      <c r="E132" s="70">
        <f>IF(OR('Monthly Activity Log'!K63="In Progress",'Monthly Activity Log'!K63="Pending"),'Monthly Activity Log'!G63,"")</f>
        <v/>
      </c>
      <c r="F132" s="70">
        <f>IF(OR('Monthly Activity Log'!K63="In Progress",'Monthly Activity Log'!K63="Pending"),'Monthly Activity Log'!I63,"")</f>
        <v/>
      </c>
      <c r="G132" s="70">
        <f>IF(OR('Monthly Activity Log'!K63="In Progress",'Monthly Activity Log'!K63="Pending"),'Monthly Activity Log'!J63,"")</f>
        <v/>
      </c>
      <c r="H132" s="70">
        <f>IF(OR('Monthly Activity Log'!K63="In Progress",'Monthly Activity Log'!K63="Pending"),'Monthly Activity Log'!K63,"")</f>
        <v/>
      </c>
      <c r="I132" s="70">
        <f>IF(OR('Monthly Activity Log'!K63="In Progress",'Monthly Activity Log'!K63="Pending"),'Monthly Activity Log'!B63,"")</f>
        <v/>
      </c>
      <c r="J132" s="70">
        <f>IF(OR('Monthly Activity Log'!K63="In Progress",'Monthly Activity Log'!K63="Pending"),'Monthly Activity Log'!L63,"")</f>
        <v/>
      </c>
    </row>
    <row r="133" ht="15.75" customHeight="1" s="65">
      <c r="A133" s="74">
        <f>IF(OR('Monthly Activity Log'!K64="In Progress",'Monthly Activity Log'!K64="Pending"),'Monthly Activity Log'!H64,"")</f>
        <v/>
      </c>
      <c r="B133" s="74">
        <f>IF(OR('Monthly Activity Log'!K64="In Progress",'Monthly Activity Log'!K64="Pending"),'Monthly Activity Log'!C64,"")</f>
        <v/>
      </c>
      <c r="C133" s="74">
        <f>IF(OR('Monthly Activity Log'!K64="In Progress",'Monthly Activity Log'!K64="Pending"),'Monthly Activity Log'!E64,"")</f>
        <v/>
      </c>
      <c r="D133" s="74">
        <f>IF(OR('Monthly Activity Log'!K64="In Progress",'Monthly Activity Log'!K64="Pending"),'Monthly Activity Log'!F64,"")</f>
        <v/>
      </c>
      <c r="E133" s="74">
        <f>IF(OR('Monthly Activity Log'!K64="In Progress",'Monthly Activity Log'!K64="Pending"),'Monthly Activity Log'!G64,"")</f>
        <v/>
      </c>
      <c r="F133" s="74">
        <f>IF(OR('Monthly Activity Log'!K64="In Progress",'Monthly Activity Log'!K64="Pending"),'Monthly Activity Log'!I64,"")</f>
        <v/>
      </c>
      <c r="G133" s="74">
        <f>IF(OR('Monthly Activity Log'!K64="In Progress",'Monthly Activity Log'!K64="Pending"),'Monthly Activity Log'!J64,"")</f>
        <v/>
      </c>
      <c r="H133" s="74">
        <f>IF(OR('Monthly Activity Log'!K64="In Progress",'Monthly Activity Log'!K64="Pending"),'Monthly Activity Log'!K64,"")</f>
        <v/>
      </c>
      <c r="I133" s="74">
        <f>IF(OR('Monthly Activity Log'!K64="In Progress",'Monthly Activity Log'!K64="Pending"),'Monthly Activity Log'!B64,"")</f>
        <v/>
      </c>
      <c r="J133" s="74">
        <f>IF(OR('Monthly Activity Log'!K64="In Progress",'Monthly Activity Log'!K64="Pending"),'Monthly Activity Log'!L64,"")</f>
        <v/>
      </c>
    </row>
    <row r="134" ht="15.75" customHeight="1" s="65">
      <c r="A134" s="70">
        <f>IF(OR('Monthly Activity Log'!K65="In Progress",'Monthly Activity Log'!K65="Pending"),'Monthly Activity Log'!H65,"")</f>
        <v/>
      </c>
      <c r="B134" s="70">
        <f>IF(OR('Monthly Activity Log'!K65="In Progress",'Monthly Activity Log'!K65="Pending"),'Monthly Activity Log'!C65,"")</f>
        <v/>
      </c>
      <c r="C134" s="70">
        <f>IF(OR('Monthly Activity Log'!K65="In Progress",'Monthly Activity Log'!K65="Pending"),'Monthly Activity Log'!E65,"")</f>
        <v/>
      </c>
      <c r="D134" s="70">
        <f>IF(OR('Monthly Activity Log'!K65="In Progress",'Monthly Activity Log'!K65="Pending"),'Monthly Activity Log'!F65,"")</f>
        <v/>
      </c>
      <c r="E134" s="70">
        <f>IF(OR('Monthly Activity Log'!K65="In Progress",'Monthly Activity Log'!K65="Pending"),'Monthly Activity Log'!G65,"")</f>
        <v/>
      </c>
      <c r="F134" s="70">
        <f>IF(OR('Monthly Activity Log'!K65="In Progress",'Monthly Activity Log'!K65="Pending"),'Monthly Activity Log'!I65,"")</f>
        <v/>
      </c>
      <c r="G134" s="70">
        <f>IF(OR('Monthly Activity Log'!K65="In Progress",'Monthly Activity Log'!K65="Pending"),'Monthly Activity Log'!J65,"")</f>
        <v/>
      </c>
      <c r="H134" s="70">
        <f>IF(OR('Monthly Activity Log'!K65="In Progress",'Monthly Activity Log'!K65="Pending"),'Monthly Activity Log'!K65,"")</f>
        <v/>
      </c>
      <c r="I134" s="70">
        <f>IF(OR('Monthly Activity Log'!K65="In Progress",'Monthly Activity Log'!K65="Pending"),'Monthly Activity Log'!B65,"")</f>
        <v/>
      </c>
      <c r="J134" s="70">
        <f>IF(OR('Monthly Activity Log'!K65="In Progress",'Monthly Activity Log'!K65="Pending"),'Monthly Activity Log'!L65,"")</f>
        <v/>
      </c>
    </row>
    <row r="135" ht="15.75" customHeight="1" s="65">
      <c r="A135" s="74">
        <f>IF(OR('Monthly Activity Log'!K66="In Progress",'Monthly Activity Log'!K66="Pending"),'Monthly Activity Log'!H66,"")</f>
        <v/>
      </c>
      <c r="B135" s="74">
        <f>IF(OR('Monthly Activity Log'!K66="In Progress",'Monthly Activity Log'!K66="Pending"),'Monthly Activity Log'!C66,"")</f>
        <v/>
      </c>
      <c r="C135" s="74">
        <f>IF(OR('Monthly Activity Log'!K66="In Progress",'Monthly Activity Log'!K66="Pending"),'Monthly Activity Log'!E66,"")</f>
        <v/>
      </c>
      <c r="D135" s="74">
        <f>IF(OR('Monthly Activity Log'!K66="In Progress",'Monthly Activity Log'!K66="Pending"),'Monthly Activity Log'!F66,"")</f>
        <v/>
      </c>
      <c r="E135" s="74">
        <f>IF(OR('Monthly Activity Log'!K66="In Progress",'Monthly Activity Log'!K66="Pending"),'Monthly Activity Log'!G66,"")</f>
        <v/>
      </c>
      <c r="F135" s="74">
        <f>IF(OR('Monthly Activity Log'!K66="In Progress",'Monthly Activity Log'!K66="Pending"),'Monthly Activity Log'!I66,"")</f>
        <v/>
      </c>
      <c r="G135" s="74">
        <f>IF(OR('Monthly Activity Log'!K66="In Progress",'Monthly Activity Log'!K66="Pending"),'Monthly Activity Log'!J66,"")</f>
        <v/>
      </c>
      <c r="H135" s="74">
        <f>IF(OR('Monthly Activity Log'!K66="In Progress",'Monthly Activity Log'!K66="Pending"),'Monthly Activity Log'!K66,"")</f>
        <v/>
      </c>
      <c r="I135" s="74">
        <f>IF(OR('Monthly Activity Log'!K66="In Progress",'Monthly Activity Log'!K66="Pending"),'Monthly Activity Log'!B66,"")</f>
        <v/>
      </c>
      <c r="J135" s="74">
        <f>IF(OR('Monthly Activity Log'!K66="In Progress",'Monthly Activity Log'!K66="Pending"),'Monthly Activity Log'!L66,"")</f>
        <v/>
      </c>
    </row>
    <row r="136" ht="15.75" customHeight="1" s="65">
      <c r="A136" s="70">
        <f>IF(OR('Monthly Activity Log'!K67="In Progress",'Monthly Activity Log'!K67="Pending"),'Monthly Activity Log'!H67,"")</f>
        <v/>
      </c>
      <c r="B136" s="70">
        <f>IF(OR('Monthly Activity Log'!K67="In Progress",'Monthly Activity Log'!K67="Pending"),'Monthly Activity Log'!C67,"")</f>
        <v/>
      </c>
      <c r="C136" s="70">
        <f>IF(OR('Monthly Activity Log'!K67="In Progress",'Monthly Activity Log'!K67="Pending"),'Monthly Activity Log'!E67,"")</f>
        <v/>
      </c>
      <c r="D136" s="70">
        <f>IF(OR('Monthly Activity Log'!K67="In Progress",'Monthly Activity Log'!K67="Pending"),'Monthly Activity Log'!F67,"")</f>
        <v/>
      </c>
      <c r="E136" s="70">
        <f>IF(OR('Monthly Activity Log'!K67="In Progress",'Monthly Activity Log'!K67="Pending"),'Monthly Activity Log'!G67,"")</f>
        <v/>
      </c>
      <c r="F136" s="70">
        <f>IF(OR('Monthly Activity Log'!K67="In Progress",'Monthly Activity Log'!K67="Pending"),'Monthly Activity Log'!I67,"")</f>
        <v/>
      </c>
      <c r="G136" s="70">
        <f>IF(OR('Monthly Activity Log'!K67="In Progress",'Monthly Activity Log'!K67="Pending"),'Monthly Activity Log'!J67,"")</f>
        <v/>
      </c>
      <c r="H136" s="70">
        <f>IF(OR('Monthly Activity Log'!K67="In Progress",'Monthly Activity Log'!K67="Pending"),'Monthly Activity Log'!K67,"")</f>
        <v/>
      </c>
      <c r="I136" s="70">
        <f>IF(OR('Monthly Activity Log'!K67="In Progress",'Monthly Activity Log'!K67="Pending"),'Monthly Activity Log'!B67,"")</f>
        <v/>
      </c>
      <c r="J136" s="70">
        <f>IF(OR('Monthly Activity Log'!K67="In Progress",'Monthly Activity Log'!K67="Pending"),'Monthly Activity Log'!L67,"")</f>
        <v/>
      </c>
    </row>
    <row r="137" ht="15.75" customHeight="1" s="65">
      <c r="A137" s="74">
        <f>IF(OR('Monthly Activity Log'!K68="In Progress",'Monthly Activity Log'!K68="Pending"),'Monthly Activity Log'!H68,"")</f>
        <v/>
      </c>
      <c r="B137" s="74">
        <f>IF(OR('Monthly Activity Log'!K68="In Progress",'Monthly Activity Log'!K68="Pending"),'Monthly Activity Log'!C68,"")</f>
        <v/>
      </c>
      <c r="C137" s="74">
        <f>IF(OR('Monthly Activity Log'!K68="In Progress",'Monthly Activity Log'!K68="Pending"),'Monthly Activity Log'!E68,"")</f>
        <v/>
      </c>
      <c r="D137" s="74">
        <f>IF(OR('Monthly Activity Log'!K68="In Progress",'Monthly Activity Log'!K68="Pending"),'Monthly Activity Log'!F68,"")</f>
        <v/>
      </c>
      <c r="E137" s="74">
        <f>IF(OR('Monthly Activity Log'!K68="In Progress",'Monthly Activity Log'!K68="Pending"),'Monthly Activity Log'!G68,"")</f>
        <v/>
      </c>
      <c r="F137" s="74">
        <f>IF(OR('Monthly Activity Log'!K68="In Progress",'Monthly Activity Log'!K68="Pending"),'Monthly Activity Log'!I68,"")</f>
        <v/>
      </c>
      <c r="G137" s="74">
        <f>IF(OR('Monthly Activity Log'!K68="In Progress",'Monthly Activity Log'!K68="Pending"),'Monthly Activity Log'!J68,"")</f>
        <v/>
      </c>
      <c r="H137" s="74">
        <f>IF(OR('Monthly Activity Log'!K68="In Progress",'Monthly Activity Log'!K68="Pending"),'Monthly Activity Log'!K68,"")</f>
        <v/>
      </c>
      <c r="I137" s="74">
        <f>IF(OR('Monthly Activity Log'!K68="In Progress",'Monthly Activity Log'!K68="Pending"),'Monthly Activity Log'!B68,"")</f>
        <v/>
      </c>
      <c r="J137" s="74">
        <f>IF(OR('Monthly Activity Log'!K68="In Progress",'Monthly Activity Log'!K68="Pending"),'Monthly Activity Log'!L68,"")</f>
        <v/>
      </c>
    </row>
    <row r="138" ht="15.75" customHeight="1" s="65">
      <c r="A138" s="70">
        <f>IF(OR('Monthly Activity Log'!K69="In Progress",'Monthly Activity Log'!K69="Pending"),'Monthly Activity Log'!H69,"")</f>
        <v/>
      </c>
      <c r="B138" s="70">
        <f>IF(OR('Monthly Activity Log'!K69="In Progress",'Monthly Activity Log'!K69="Pending"),'Monthly Activity Log'!C69,"")</f>
        <v/>
      </c>
      <c r="C138" s="70">
        <f>IF(OR('Monthly Activity Log'!K69="In Progress",'Monthly Activity Log'!K69="Pending"),'Monthly Activity Log'!E69,"")</f>
        <v/>
      </c>
      <c r="D138" s="70">
        <f>IF(OR('Monthly Activity Log'!K69="In Progress",'Monthly Activity Log'!K69="Pending"),'Monthly Activity Log'!F69,"")</f>
        <v/>
      </c>
      <c r="E138" s="70">
        <f>IF(OR('Monthly Activity Log'!K69="In Progress",'Monthly Activity Log'!K69="Pending"),'Monthly Activity Log'!G69,"")</f>
        <v/>
      </c>
      <c r="F138" s="70">
        <f>IF(OR('Monthly Activity Log'!K69="In Progress",'Monthly Activity Log'!K69="Pending"),'Monthly Activity Log'!I69,"")</f>
        <v/>
      </c>
      <c r="G138" s="70">
        <f>IF(OR('Monthly Activity Log'!K69="In Progress",'Monthly Activity Log'!K69="Pending"),'Monthly Activity Log'!J69,"")</f>
        <v/>
      </c>
      <c r="H138" s="70">
        <f>IF(OR('Monthly Activity Log'!K69="In Progress",'Monthly Activity Log'!K69="Pending"),'Monthly Activity Log'!K69,"")</f>
        <v/>
      </c>
      <c r="I138" s="70">
        <f>IF(OR('Monthly Activity Log'!K69="In Progress",'Monthly Activity Log'!K69="Pending"),'Monthly Activity Log'!B69,"")</f>
        <v/>
      </c>
      <c r="J138" s="70">
        <f>IF(OR('Monthly Activity Log'!K69="In Progress",'Monthly Activity Log'!K69="Pending"),'Monthly Activity Log'!L69,"")</f>
        <v/>
      </c>
    </row>
    <row r="139" ht="15.75" customHeight="1" s="65">
      <c r="A139" s="74">
        <f>IF(OR('Monthly Activity Log'!K70="In Progress",'Monthly Activity Log'!K70="Pending"),'Monthly Activity Log'!H70,"")</f>
        <v/>
      </c>
      <c r="B139" s="74">
        <f>IF(OR('Monthly Activity Log'!K70="In Progress",'Monthly Activity Log'!K70="Pending"),'Monthly Activity Log'!C70,"")</f>
        <v/>
      </c>
      <c r="C139" s="74">
        <f>IF(OR('Monthly Activity Log'!K70="In Progress",'Monthly Activity Log'!K70="Pending"),'Monthly Activity Log'!E70,"")</f>
        <v/>
      </c>
      <c r="D139" s="74">
        <f>IF(OR('Monthly Activity Log'!K70="In Progress",'Monthly Activity Log'!K70="Pending"),'Monthly Activity Log'!F70,"")</f>
        <v/>
      </c>
      <c r="E139" s="74">
        <f>IF(OR('Monthly Activity Log'!K70="In Progress",'Monthly Activity Log'!K70="Pending"),'Monthly Activity Log'!G70,"")</f>
        <v/>
      </c>
      <c r="F139" s="74">
        <f>IF(OR('Monthly Activity Log'!K70="In Progress",'Monthly Activity Log'!K70="Pending"),'Monthly Activity Log'!I70,"")</f>
        <v/>
      </c>
      <c r="G139" s="74">
        <f>IF(OR('Monthly Activity Log'!K70="In Progress",'Monthly Activity Log'!K70="Pending"),'Monthly Activity Log'!J70,"")</f>
        <v/>
      </c>
      <c r="H139" s="74">
        <f>IF(OR('Monthly Activity Log'!K70="In Progress",'Monthly Activity Log'!K70="Pending"),'Monthly Activity Log'!K70,"")</f>
        <v/>
      </c>
      <c r="I139" s="74">
        <f>IF(OR('Monthly Activity Log'!K70="In Progress",'Monthly Activity Log'!K70="Pending"),'Monthly Activity Log'!B70,"")</f>
        <v/>
      </c>
      <c r="J139" s="74">
        <f>IF(OR('Monthly Activity Log'!K70="In Progress",'Monthly Activity Log'!K70="Pending"),'Monthly Activity Log'!L70,"")</f>
        <v/>
      </c>
    </row>
    <row r="140" ht="15.75" customHeight="1" s="65">
      <c r="A140" s="70">
        <f>IF(OR('Monthly Activity Log'!K71="In Progress",'Monthly Activity Log'!K71="Pending"),'Monthly Activity Log'!H71,"")</f>
        <v/>
      </c>
      <c r="B140" s="70">
        <f>IF(OR('Monthly Activity Log'!K71="In Progress",'Monthly Activity Log'!K71="Pending"),'Monthly Activity Log'!C71,"")</f>
        <v/>
      </c>
      <c r="C140" s="70">
        <f>IF(OR('Monthly Activity Log'!K71="In Progress",'Monthly Activity Log'!K71="Pending"),'Monthly Activity Log'!E71,"")</f>
        <v/>
      </c>
      <c r="D140" s="70">
        <f>IF(OR('Monthly Activity Log'!K71="In Progress",'Monthly Activity Log'!K71="Pending"),'Monthly Activity Log'!F71,"")</f>
        <v/>
      </c>
      <c r="E140" s="70">
        <f>IF(OR('Monthly Activity Log'!K71="In Progress",'Monthly Activity Log'!K71="Pending"),'Monthly Activity Log'!G71,"")</f>
        <v/>
      </c>
      <c r="F140" s="70">
        <f>IF(OR('Monthly Activity Log'!K71="In Progress",'Monthly Activity Log'!K71="Pending"),'Monthly Activity Log'!I71,"")</f>
        <v/>
      </c>
      <c r="G140" s="70">
        <f>IF(OR('Monthly Activity Log'!K71="In Progress",'Monthly Activity Log'!K71="Pending"),'Monthly Activity Log'!J71,"")</f>
        <v/>
      </c>
      <c r="H140" s="70">
        <f>IF(OR('Monthly Activity Log'!K71="In Progress",'Monthly Activity Log'!K71="Pending"),'Monthly Activity Log'!K71,"")</f>
        <v/>
      </c>
      <c r="I140" s="70">
        <f>IF(OR('Monthly Activity Log'!K71="In Progress",'Monthly Activity Log'!K71="Pending"),'Monthly Activity Log'!B71,"")</f>
        <v/>
      </c>
      <c r="J140" s="70">
        <f>IF(OR('Monthly Activity Log'!K71="In Progress",'Monthly Activity Log'!K71="Pending"),'Monthly Activity Log'!L71,"")</f>
        <v/>
      </c>
    </row>
    <row r="141" ht="15.75" customHeight="1" s="65">
      <c r="A141" s="74">
        <f>IF(OR('Monthly Activity Log'!K72="In Progress",'Monthly Activity Log'!K72="Pending"),'Monthly Activity Log'!H72,"")</f>
        <v/>
      </c>
      <c r="B141" s="74">
        <f>IF(OR('Monthly Activity Log'!K72="In Progress",'Monthly Activity Log'!K72="Pending"),'Monthly Activity Log'!C72,"")</f>
        <v/>
      </c>
      <c r="C141" s="74">
        <f>IF(OR('Monthly Activity Log'!K72="In Progress",'Monthly Activity Log'!K72="Pending"),'Monthly Activity Log'!E72,"")</f>
        <v/>
      </c>
      <c r="D141" s="74">
        <f>IF(OR('Monthly Activity Log'!K72="In Progress",'Monthly Activity Log'!K72="Pending"),'Monthly Activity Log'!F72,"")</f>
        <v/>
      </c>
      <c r="E141" s="74">
        <f>IF(OR('Monthly Activity Log'!K72="In Progress",'Monthly Activity Log'!K72="Pending"),'Monthly Activity Log'!G72,"")</f>
        <v/>
      </c>
      <c r="F141" s="74">
        <f>IF(OR('Monthly Activity Log'!K72="In Progress",'Monthly Activity Log'!K72="Pending"),'Monthly Activity Log'!I72,"")</f>
        <v/>
      </c>
      <c r="G141" s="74">
        <f>IF(OR('Monthly Activity Log'!K72="In Progress",'Monthly Activity Log'!K72="Pending"),'Monthly Activity Log'!J72,"")</f>
        <v/>
      </c>
      <c r="H141" s="74">
        <f>IF(OR('Monthly Activity Log'!K72="In Progress",'Monthly Activity Log'!K72="Pending"),'Monthly Activity Log'!K72,"")</f>
        <v/>
      </c>
      <c r="I141" s="74">
        <f>IF(OR('Monthly Activity Log'!K72="In Progress",'Monthly Activity Log'!K72="Pending"),'Monthly Activity Log'!B72,"")</f>
        <v/>
      </c>
      <c r="J141" s="74">
        <f>IF(OR('Monthly Activity Log'!K72="In Progress",'Monthly Activity Log'!K72="Pending"),'Monthly Activity Log'!L72,"")</f>
        <v/>
      </c>
    </row>
    <row r="142" ht="15.75" customHeight="1" s="65">
      <c r="A142" s="70">
        <f>IF(OR('Monthly Activity Log'!K73="In Progress",'Monthly Activity Log'!K73="Pending"),'Monthly Activity Log'!H73,"")</f>
        <v/>
      </c>
      <c r="B142" s="70">
        <f>IF(OR('Monthly Activity Log'!K73="In Progress",'Monthly Activity Log'!K73="Pending"),'Monthly Activity Log'!C73,"")</f>
        <v/>
      </c>
      <c r="C142" s="70">
        <f>IF(OR('Monthly Activity Log'!K73="In Progress",'Monthly Activity Log'!K73="Pending"),'Monthly Activity Log'!E73,"")</f>
        <v/>
      </c>
      <c r="D142" s="70">
        <f>IF(OR('Monthly Activity Log'!K73="In Progress",'Monthly Activity Log'!K73="Pending"),'Monthly Activity Log'!F73,"")</f>
        <v/>
      </c>
      <c r="E142" s="70">
        <f>IF(OR('Monthly Activity Log'!K73="In Progress",'Monthly Activity Log'!K73="Pending"),'Monthly Activity Log'!G73,"")</f>
        <v/>
      </c>
      <c r="F142" s="70">
        <f>IF(OR('Monthly Activity Log'!K73="In Progress",'Monthly Activity Log'!K73="Pending"),'Monthly Activity Log'!I73,"")</f>
        <v/>
      </c>
      <c r="G142" s="70">
        <f>IF(OR('Monthly Activity Log'!K73="In Progress",'Monthly Activity Log'!K73="Pending"),'Monthly Activity Log'!J73,"")</f>
        <v/>
      </c>
      <c r="H142" s="70">
        <f>IF(OR('Monthly Activity Log'!K73="In Progress",'Monthly Activity Log'!K73="Pending"),'Monthly Activity Log'!K73,"")</f>
        <v/>
      </c>
      <c r="I142" s="70">
        <f>IF(OR('Monthly Activity Log'!K73="In Progress",'Monthly Activity Log'!K73="Pending"),'Monthly Activity Log'!B73,"")</f>
        <v/>
      </c>
      <c r="J142" s="70">
        <f>IF(OR('Monthly Activity Log'!K73="In Progress",'Monthly Activity Log'!K73="Pending"),'Monthly Activity Log'!L73,"")</f>
        <v/>
      </c>
    </row>
    <row r="143" ht="15.75" customHeight="1" s="65">
      <c r="A143" s="74">
        <f>IF(OR('Monthly Activity Log'!K74="In Progress",'Monthly Activity Log'!K74="Pending"),'Monthly Activity Log'!H74,"")</f>
        <v/>
      </c>
      <c r="B143" s="74">
        <f>IF(OR('Monthly Activity Log'!K74="In Progress",'Monthly Activity Log'!K74="Pending"),'Monthly Activity Log'!C74,"")</f>
        <v/>
      </c>
      <c r="C143" s="74">
        <f>IF(OR('Monthly Activity Log'!K74="In Progress",'Monthly Activity Log'!K74="Pending"),'Monthly Activity Log'!E74,"")</f>
        <v/>
      </c>
      <c r="D143" s="74">
        <f>IF(OR('Monthly Activity Log'!K74="In Progress",'Monthly Activity Log'!K74="Pending"),'Monthly Activity Log'!F74,"")</f>
        <v/>
      </c>
      <c r="E143" s="74">
        <f>IF(OR('Monthly Activity Log'!K74="In Progress",'Monthly Activity Log'!K74="Pending"),'Monthly Activity Log'!G74,"")</f>
        <v/>
      </c>
      <c r="F143" s="74">
        <f>IF(OR('Monthly Activity Log'!K74="In Progress",'Monthly Activity Log'!K74="Pending"),'Monthly Activity Log'!I74,"")</f>
        <v/>
      </c>
      <c r="G143" s="74">
        <f>IF(OR('Monthly Activity Log'!K74="In Progress",'Monthly Activity Log'!K74="Pending"),'Monthly Activity Log'!J74,"")</f>
        <v/>
      </c>
      <c r="H143" s="74">
        <f>IF(OR('Monthly Activity Log'!K74="In Progress",'Monthly Activity Log'!K74="Pending"),'Monthly Activity Log'!K74,"")</f>
        <v/>
      </c>
      <c r="I143" s="74">
        <f>IF(OR('Monthly Activity Log'!K74="In Progress",'Monthly Activity Log'!K74="Pending"),'Monthly Activity Log'!B74,"")</f>
        <v/>
      </c>
      <c r="J143" s="74">
        <f>IF(OR('Monthly Activity Log'!K74="In Progress",'Monthly Activity Log'!K74="Pending"),'Monthly Activity Log'!L74,"")</f>
        <v/>
      </c>
    </row>
    <row r="144" ht="15.75" customHeight="1" s="65">
      <c r="A144" s="70">
        <f>IF(OR('Monthly Activity Log'!K75="In Progress",'Monthly Activity Log'!K75="Pending"),'Monthly Activity Log'!H75,"")</f>
        <v/>
      </c>
      <c r="B144" s="70">
        <f>IF(OR('Monthly Activity Log'!K75="In Progress",'Monthly Activity Log'!K75="Pending"),'Monthly Activity Log'!C75,"")</f>
        <v/>
      </c>
      <c r="C144" s="70">
        <f>IF(OR('Monthly Activity Log'!K75="In Progress",'Monthly Activity Log'!K75="Pending"),'Monthly Activity Log'!E75,"")</f>
        <v/>
      </c>
      <c r="D144" s="70">
        <f>IF(OR('Monthly Activity Log'!K75="In Progress",'Monthly Activity Log'!K75="Pending"),'Monthly Activity Log'!F75,"")</f>
        <v/>
      </c>
      <c r="E144" s="70">
        <f>IF(OR('Monthly Activity Log'!K75="In Progress",'Monthly Activity Log'!K75="Pending"),'Monthly Activity Log'!G75,"")</f>
        <v/>
      </c>
      <c r="F144" s="70">
        <f>IF(OR('Monthly Activity Log'!K75="In Progress",'Monthly Activity Log'!K75="Pending"),'Monthly Activity Log'!I75,"")</f>
        <v/>
      </c>
      <c r="G144" s="70">
        <f>IF(OR('Monthly Activity Log'!K75="In Progress",'Monthly Activity Log'!K75="Pending"),'Monthly Activity Log'!J75,"")</f>
        <v/>
      </c>
      <c r="H144" s="70">
        <f>IF(OR('Monthly Activity Log'!K75="In Progress",'Monthly Activity Log'!K75="Pending"),'Monthly Activity Log'!K75,"")</f>
        <v/>
      </c>
      <c r="I144" s="70">
        <f>IF(OR('Monthly Activity Log'!K75="In Progress",'Monthly Activity Log'!K75="Pending"),'Monthly Activity Log'!B75,"")</f>
        <v/>
      </c>
      <c r="J144" s="70">
        <f>IF(OR('Monthly Activity Log'!K75="In Progress",'Monthly Activity Log'!K75="Pending"),'Monthly Activity Log'!L75,"")</f>
        <v/>
      </c>
    </row>
    <row r="145" ht="15.75" customHeight="1" s="65">
      <c r="A145" s="74">
        <f>IF(OR('Monthly Activity Log'!K76="In Progress",'Monthly Activity Log'!K76="Pending"),'Monthly Activity Log'!H76,"")</f>
        <v/>
      </c>
      <c r="B145" s="74">
        <f>IF(OR('Monthly Activity Log'!K76="In Progress",'Monthly Activity Log'!K76="Pending"),'Monthly Activity Log'!C76,"")</f>
        <v/>
      </c>
      <c r="C145" s="74">
        <f>IF(OR('Monthly Activity Log'!K76="In Progress",'Monthly Activity Log'!K76="Pending"),'Monthly Activity Log'!E76,"")</f>
        <v/>
      </c>
      <c r="D145" s="74">
        <f>IF(OR('Monthly Activity Log'!K76="In Progress",'Monthly Activity Log'!K76="Pending"),'Monthly Activity Log'!F76,"")</f>
        <v/>
      </c>
      <c r="E145" s="74">
        <f>IF(OR('Monthly Activity Log'!K76="In Progress",'Monthly Activity Log'!K76="Pending"),'Monthly Activity Log'!G76,"")</f>
        <v/>
      </c>
      <c r="F145" s="74">
        <f>IF(OR('Monthly Activity Log'!K76="In Progress",'Monthly Activity Log'!K76="Pending"),'Monthly Activity Log'!I76,"")</f>
        <v/>
      </c>
      <c r="G145" s="74">
        <f>IF(OR('Monthly Activity Log'!K76="In Progress",'Monthly Activity Log'!K76="Pending"),'Monthly Activity Log'!J76,"")</f>
        <v/>
      </c>
      <c r="H145" s="74">
        <f>IF(OR('Monthly Activity Log'!K76="In Progress",'Monthly Activity Log'!K76="Pending"),'Monthly Activity Log'!K76,"")</f>
        <v/>
      </c>
      <c r="I145" s="74">
        <f>IF(OR('Monthly Activity Log'!K76="In Progress",'Monthly Activity Log'!K76="Pending"),'Monthly Activity Log'!B76,"")</f>
        <v/>
      </c>
      <c r="J145" s="74">
        <f>IF(OR('Monthly Activity Log'!K76="In Progress",'Monthly Activity Log'!K76="Pending"),'Monthly Activity Log'!L76,"")</f>
        <v/>
      </c>
    </row>
    <row r="146" ht="15.75" customHeight="1" s="65">
      <c r="A146" s="70">
        <f>IF(OR('Monthly Activity Log'!K77="In Progress",'Monthly Activity Log'!K77="Pending"),'Monthly Activity Log'!H77,"")</f>
        <v/>
      </c>
      <c r="B146" s="70">
        <f>IF(OR('Monthly Activity Log'!K77="In Progress",'Monthly Activity Log'!K77="Pending"),'Monthly Activity Log'!C77,"")</f>
        <v/>
      </c>
      <c r="C146" s="70">
        <f>IF(OR('Monthly Activity Log'!K77="In Progress",'Monthly Activity Log'!K77="Pending"),'Monthly Activity Log'!E77,"")</f>
        <v/>
      </c>
      <c r="D146" s="70">
        <f>IF(OR('Monthly Activity Log'!K77="In Progress",'Monthly Activity Log'!K77="Pending"),'Monthly Activity Log'!F77,"")</f>
        <v/>
      </c>
      <c r="E146" s="70">
        <f>IF(OR('Monthly Activity Log'!K77="In Progress",'Monthly Activity Log'!K77="Pending"),'Monthly Activity Log'!G77,"")</f>
        <v/>
      </c>
      <c r="F146" s="70">
        <f>IF(OR('Monthly Activity Log'!K77="In Progress",'Monthly Activity Log'!K77="Pending"),'Monthly Activity Log'!I77,"")</f>
        <v/>
      </c>
      <c r="G146" s="70">
        <f>IF(OR('Monthly Activity Log'!K77="In Progress",'Monthly Activity Log'!K77="Pending"),'Monthly Activity Log'!J77,"")</f>
        <v/>
      </c>
      <c r="H146" s="70">
        <f>IF(OR('Monthly Activity Log'!K77="In Progress",'Monthly Activity Log'!K77="Pending"),'Monthly Activity Log'!K77,"")</f>
        <v/>
      </c>
      <c r="I146" s="70">
        <f>IF(OR('Monthly Activity Log'!K77="In Progress",'Monthly Activity Log'!K77="Pending"),'Monthly Activity Log'!B77,"")</f>
        <v/>
      </c>
      <c r="J146" s="70">
        <f>IF(OR('Monthly Activity Log'!K77="In Progress",'Monthly Activity Log'!K77="Pending"),'Monthly Activity Log'!L77,"")</f>
        <v/>
      </c>
    </row>
    <row r="147" ht="15.75" customHeight="1" s="65">
      <c r="A147" s="74">
        <f>IF(OR('Monthly Activity Log'!K78="In Progress",'Monthly Activity Log'!K78="Pending"),'Monthly Activity Log'!H78,"")</f>
        <v/>
      </c>
      <c r="B147" s="74">
        <f>IF(OR('Monthly Activity Log'!K78="In Progress",'Monthly Activity Log'!K78="Pending"),'Monthly Activity Log'!C78,"")</f>
        <v/>
      </c>
      <c r="C147" s="74">
        <f>IF(OR('Monthly Activity Log'!K78="In Progress",'Monthly Activity Log'!K78="Pending"),'Monthly Activity Log'!E78,"")</f>
        <v/>
      </c>
      <c r="D147" s="74">
        <f>IF(OR('Monthly Activity Log'!K78="In Progress",'Monthly Activity Log'!K78="Pending"),'Monthly Activity Log'!F78,"")</f>
        <v/>
      </c>
      <c r="E147" s="74">
        <f>IF(OR('Monthly Activity Log'!K78="In Progress",'Monthly Activity Log'!K78="Pending"),'Monthly Activity Log'!G78,"")</f>
        <v/>
      </c>
      <c r="F147" s="74">
        <f>IF(OR('Monthly Activity Log'!K78="In Progress",'Monthly Activity Log'!K78="Pending"),'Monthly Activity Log'!I78,"")</f>
        <v/>
      </c>
      <c r="G147" s="74">
        <f>IF(OR('Monthly Activity Log'!K78="In Progress",'Monthly Activity Log'!K78="Pending"),'Monthly Activity Log'!J78,"")</f>
        <v/>
      </c>
      <c r="H147" s="74">
        <f>IF(OR('Monthly Activity Log'!K78="In Progress",'Monthly Activity Log'!K78="Pending"),'Monthly Activity Log'!K78,"")</f>
        <v/>
      </c>
      <c r="I147" s="74">
        <f>IF(OR('Monthly Activity Log'!K78="In Progress",'Monthly Activity Log'!K78="Pending"),'Monthly Activity Log'!B78,"")</f>
        <v/>
      </c>
      <c r="J147" s="74">
        <f>IF(OR('Monthly Activity Log'!K78="In Progress",'Monthly Activity Log'!K78="Pending"),'Monthly Activity Log'!L78,"")</f>
        <v/>
      </c>
    </row>
    <row r="148" ht="15.75" customHeight="1" s="65">
      <c r="A148" s="70">
        <f>IF(OR('Monthly Activity Log'!K79="In Progress",'Monthly Activity Log'!K79="Pending"),'Monthly Activity Log'!H79,"")</f>
        <v/>
      </c>
      <c r="B148" s="70">
        <f>IF(OR('Monthly Activity Log'!K79="In Progress",'Monthly Activity Log'!K79="Pending"),'Monthly Activity Log'!C79,"")</f>
        <v/>
      </c>
      <c r="C148" s="70">
        <f>IF(OR('Monthly Activity Log'!K79="In Progress",'Monthly Activity Log'!K79="Pending"),'Monthly Activity Log'!E79,"")</f>
        <v/>
      </c>
      <c r="D148" s="70">
        <f>IF(OR('Monthly Activity Log'!K79="In Progress",'Monthly Activity Log'!K79="Pending"),'Monthly Activity Log'!F79,"")</f>
        <v/>
      </c>
      <c r="E148" s="70">
        <f>IF(OR('Monthly Activity Log'!K79="In Progress",'Monthly Activity Log'!K79="Pending"),'Monthly Activity Log'!G79,"")</f>
        <v/>
      </c>
      <c r="F148" s="70">
        <f>IF(OR('Monthly Activity Log'!K79="In Progress",'Monthly Activity Log'!K79="Pending"),'Monthly Activity Log'!I79,"")</f>
        <v/>
      </c>
      <c r="G148" s="70">
        <f>IF(OR('Monthly Activity Log'!K79="In Progress",'Monthly Activity Log'!K79="Pending"),'Monthly Activity Log'!J79,"")</f>
        <v/>
      </c>
      <c r="H148" s="70">
        <f>IF(OR('Monthly Activity Log'!K79="In Progress",'Monthly Activity Log'!K79="Pending"),'Monthly Activity Log'!K79,"")</f>
        <v/>
      </c>
      <c r="I148" s="70">
        <f>IF(OR('Monthly Activity Log'!K79="In Progress",'Monthly Activity Log'!K79="Pending"),'Monthly Activity Log'!B79,"")</f>
        <v/>
      </c>
      <c r="J148" s="70">
        <f>IF(OR('Monthly Activity Log'!K79="In Progress",'Monthly Activity Log'!K79="Pending"),'Monthly Activity Log'!L79,"")</f>
        <v/>
      </c>
    </row>
    <row r="149" ht="15.75" customHeight="1" s="65">
      <c r="A149" s="74">
        <f>IF(OR('Monthly Activity Log'!K80="In Progress",'Monthly Activity Log'!K80="Pending"),'Monthly Activity Log'!H80,"")</f>
        <v/>
      </c>
      <c r="B149" s="74">
        <f>IF(OR('Monthly Activity Log'!K80="In Progress",'Monthly Activity Log'!K80="Pending"),'Monthly Activity Log'!C80,"")</f>
        <v/>
      </c>
      <c r="C149" s="74">
        <f>IF(OR('Monthly Activity Log'!K80="In Progress",'Monthly Activity Log'!K80="Pending"),'Monthly Activity Log'!E80,"")</f>
        <v/>
      </c>
      <c r="D149" s="74">
        <f>IF(OR('Monthly Activity Log'!K80="In Progress",'Monthly Activity Log'!K80="Pending"),'Monthly Activity Log'!F80,"")</f>
        <v/>
      </c>
      <c r="E149" s="74">
        <f>IF(OR('Monthly Activity Log'!K80="In Progress",'Monthly Activity Log'!K80="Pending"),'Monthly Activity Log'!G80,"")</f>
        <v/>
      </c>
      <c r="F149" s="74">
        <f>IF(OR('Monthly Activity Log'!K80="In Progress",'Monthly Activity Log'!K80="Pending"),'Monthly Activity Log'!I80,"")</f>
        <v/>
      </c>
      <c r="G149" s="74">
        <f>IF(OR('Monthly Activity Log'!K80="In Progress",'Monthly Activity Log'!K80="Pending"),'Monthly Activity Log'!J80,"")</f>
        <v/>
      </c>
      <c r="H149" s="74">
        <f>IF(OR('Monthly Activity Log'!K80="In Progress",'Monthly Activity Log'!K80="Pending"),'Monthly Activity Log'!K80,"")</f>
        <v/>
      </c>
      <c r="I149" s="74">
        <f>IF(OR('Monthly Activity Log'!K80="In Progress",'Monthly Activity Log'!K80="Pending"),'Monthly Activity Log'!B80,"")</f>
        <v/>
      </c>
      <c r="J149" s="74">
        <f>IF(OR('Monthly Activity Log'!K80="In Progress",'Monthly Activity Log'!K80="Pending"),'Monthly Activity Log'!L80,"")</f>
        <v/>
      </c>
    </row>
    <row r="150" ht="15.75" customHeight="1" s="65">
      <c r="A150" s="70">
        <f>IF(OR('Monthly Activity Log'!K81="In Progress",'Monthly Activity Log'!K81="Pending"),'Monthly Activity Log'!H81,"")</f>
        <v/>
      </c>
      <c r="B150" s="70">
        <f>IF(OR('Monthly Activity Log'!K81="In Progress",'Monthly Activity Log'!K81="Pending"),'Monthly Activity Log'!C81,"")</f>
        <v/>
      </c>
      <c r="C150" s="70">
        <f>IF(OR('Monthly Activity Log'!K81="In Progress",'Monthly Activity Log'!K81="Pending"),'Monthly Activity Log'!E81,"")</f>
        <v/>
      </c>
      <c r="D150" s="70">
        <f>IF(OR('Monthly Activity Log'!K81="In Progress",'Monthly Activity Log'!K81="Pending"),'Monthly Activity Log'!F81,"")</f>
        <v/>
      </c>
      <c r="E150" s="70">
        <f>IF(OR('Monthly Activity Log'!K81="In Progress",'Monthly Activity Log'!K81="Pending"),'Monthly Activity Log'!G81,"")</f>
        <v/>
      </c>
      <c r="F150" s="70">
        <f>IF(OR('Monthly Activity Log'!K81="In Progress",'Monthly Activity Log'!K81="Pending"),'Monthly Activity Log'!I81,"")</f>
        <v/>
      </c>
      <c r="G150" s="70">
        <f>IF(OR('Monthly Activity Log'!K81="In Progress",'Monthly Activity Log'!K81="Pending"),'Monthly Activity Log'!J81,"")</f>
        <v/>
      </c>
      <c r="H150" s="70">
        <f>IF(OR('Monthly Activity Log'!K81="In Progress",'Monthly Activity Log'!K81="Pending"),'Monthly Activity Log'!K81,"")</f>
        <v/>
      </c>
      <c r="I150" s="70">
        <f>IF(OR('Monthly Activity Log'!K81="In Progress",'Monthly Activity Log'!K81="Pending"),'Monthly Activity Log'!B81,"")</f>
        <v/>
      </c>
      <c r="J150" s="70">
        <f>IF(OR('Monthly Activity Log'!K81="In Progress",'Monthly Activity Log'!K81="Pending"),'Monthly Activity Log'!L81,"")</f>
        <v/>
      </c>
    </row>
    <row r="151" ht="15.75" customHeight="1" s="65">
      <c r="A151" s="74">
        <f>IF(OR('Monthly Activity Log'!K82="In Progress",'Monthly Activity Log'!K82="Pending"),'Monthly Activity Log'!H82,"")</f>
        <v/>
      </c>
      <c r="B151" s="74">
        <f>IF(OR('Monthly Activity Log'!K82="In Progress",'Monthly Activity Log'!K82="Pending"),'Monthly Activity Log'!C82,"")</f>
        <v/>
      </c>
      <c r="C151" s="74">
        <f>IF(OR('Monthly Activity Log'!K82="In Progress",'Monthly Activity Log'!K82="Pending"),'Monthly Activity Log'!E82,"")</f>
        <v/>
      </c>
      <c r="D151" s="74">
        <f>IF(OR('Monthly Activity Log'!K82="In Progress",'Monthly Activity Log'!K82="Pending"),'Monthly Activity Log'!F82,"")</f>
        <v/>
      </c>
      <c r="E151" s="74">
        <f>IF(OR('Monthly Activity Log'!K82="In Progress",'Monthly Activity Log'!K82="Pending"),'Monthly Activity Log'!G82,"")</f>
        <v/>
      </c>
      <c r="F151" s="74">
        <f>IF(OR('Monthly Activity Log'!K82="In Progress",'Monthly Activity Log'!K82="Pending"),'Monthly Activity Log'!I82,"")</f>
        <v/>
      </c>
      <c r="G151" s="74">
        <f>IF(OR('Monthly Activity Log'!K82="In Progress",'Monthly Activity Log'!K82="Pending"),'Monthly Activity Log'!J82,"")</f>
        <v/>
      </c>
      <c r="H151" s="74">
        <f>IF(OR('Monthly Activity Log'!K82="In Progress",'Monthly Activity Log'!K82="Pending"),'Monthly Activity Log'!K82,"")</f>
        <v/>
      </c>
      <c r="I151" s="74">
        <f>IF(OR('Monthly Activity Log'!K82="In Progress",'Monthly Activity Log'!K82="Pending"),'Monthly Activity Log'!B82,"")</f>
        <v/>
      </c>
      <c r="J151" s="74">
        <f>IF(OR('Monthly Activity Log'!K82="In Progress",'Monthly Activity Log'!K82="Pending"),'Monthly Activity Log'!L82,"")</f>
        <v/>
      </c>
    </row>
    <row r="152" ht="15.75" customHeight="1" s="65">
      <c r="A152" s="70">
        <f>IF(OR('Monthly Activity Log'!K83="In Progress",'Monthly Activity Log'!K83="Pending"),'Monthly Activity Log'!H83,"")</f>
        <v/>
      </c>
      <c r="B152" s="70">
        <f>IF(OR('Monthly Activity Log'!K83="In Progress",'Monthly Activity Log'!K83="Pending"),'Monthly Activity Log'!C83,"")</f>
        <v/>
      </c>
      <c r="C152" s="70">
        <f>IF(OR('Monthly Activity Log'!K83="In Progress",'Monthly Activity Log'!K83="Pending"),'Monthly Activity Log'!E83,"")</f>
        <v/>
      </c>
      <c r="D152" s="70">
        <f>IF(OR('Monthly Activity Log'!K83="In Progress",'Monthly Activity Log'!K83="Pending"),'Monthly Activity Log'!F83,"")</f>
        <v/>
      </c>
      <c r="E152" s="70">
        <f>IF(OR('Monthly Activity Log'!K83="In Progress",'Monthly Activity Log'!K83="Pending"),'Monthly Activity Log'!G83,"")</f>
        <v/>
      </c>
      <c r="F152" s="70">
        <f>IF(OR('Monthly Activity Log'!K83="In Progress",'Monthly Activity Log'!K83="Pending"),'Monthly Activity Log'!I83,"")</f>
        <v/>
      </c>
      <c r="G152" s="70">
        <f>IF(OR('Monthly Activity Log'!K83="In Progress",'Monthly Activity Log'!K83="Pending"),'Monthly Activity Log'!J83,"")</f>
        <v/>
      </c>
      <c r="H152" s="70">
        <f>IF(OR('Monthly Activity Log'!K83="In Progress",'Monthly Activity Log'!K83="Pending"),'Monthly Activity Log'!K83,"")</f>
        <v/>
      </c>
      <c r="I152" s="70">
        <f>IF(OR('Monthly Activity Log'!K83="In Progress",'Monthly Activity Log'!K83="Pending"),'Monthly Activity Log'!B83,"")</f>
        <v/>
      </c>
      <c r="J152" s="70">
        <f>IF(OR('Monthly Activity Log'!K83="In Progress",'Monthly Activity Log'!K83="Pending"),'Monthly Activity Log'!L83,"")</f>
        <v/>
      </c>
    </row>
    <row r="153" ht="15.75" customHeight="1" s="65">
      <c r="A153" s="74">
        <f>IF(OR('Monthly Activity Log'!K84="In Progress",'Monthly Activity Log'!K84="Pending"),'Monthly Activity Log'!H84,"")</f>
        <v/>
      </c>
      <c r="B153" s="74">
        <f>IF(OR('Monthly Activity Log'!K84="In Progress",'Monthly Activity Log'!K84="Pending"),'Monthly Activity Log'!C84,"")</f>
        <v/>
      </c>
      <c r="C153" s="74">
        <f>IF(OR('Monthly Activity Log'!K84="In Progress",'Monthly Activity Log'!K84="Pending"),'Monthly Activity Log'!E84,"")</f>
        <v/>
      </c>
      <c r="D153" s="74">
        <f>IF(OR('Monthly Activity Log'!K84="In Progress",'Monthly Activity Log'!K84="Pending"),'Monthly Activity Log'!F84,"")</f>
        <v/>
      </c>
      <c r="E153" s="74">
        <f>IF(OR('Monthly Activity Log'!K84="In Progress",'Monthly Activity Log'!K84="Pending"),'Monthly Activity Log'!G84,"")</f>
        <v/>
      </c>
      <c r="F153" s="74">
        <f>IF(OR('Monthly Activity Log'!K84="In Progress",'Monthly Activity Log'!K84="Pending"),'Monthly Activity Log'!I84,"")</f>
        <v/>
      </c>
      <c r="G153" s="74">
        <f>IF(OR('Monthly Activity Log'!K84="In Progress",'Monthly Activity Log'!K84="Pending"),'Monthly Activity Log'!J84,"")</f>
        <v/>
      </c>
      <c r="H153" s="74">
        <f>IF(OR('Monthly Activity Log'!K84="In Progress",'Monthly Activity Log'!K84="Pending"),'Monthly Activity Log'!K84,"")</f>
        <v/>
      </c>
      <c r="I153" s="74">
        <f>IF(OR('Monthly Activity Log'!K84="In Progress",'Monthly Activity Log'!K84="Pending"),'Monthly Activity Log'!B84,"")</f>
        <v/>
      </c>
      <c r="J153" s="74">
        <f>IF(OR('Monthly Activity Log'!K84="In Progress",'Monthly Activity Log'!K84="Pending"),'Monthly Activity Log'!L84,"")</f>
        <v/>
      </c>
    </row>
    <row r="154" ht="15.75" customHeight="1" s="65">
      <c r="A154" s="70">
        <f>IF(OR('Monthly Activity Log'!K85="In Progress",'Monthly Activity Log'!K85="Pending"),'Monthly Activity Log'!H85,"")</f>
        <v/>
      </c>
      <c r="B154" s="70">
        <f>IF(OR('Monthly Activity Log'!K85="In Progress",'Monthly Activity Log'!K85="Pending"),'Monthly Activity Log'!C85,"")</f>
        <v/>
      </c>
      <c r="C154" s="70">
        <f>IF(OR('Monthly Activity Log'!K85="In Progress",'Monthly Activity Log'!K85="Pending"),'Monthly Activity Log'!E85,"")</f>
        <v/>
      </c>
      <c r="D154" s="70">
        <f>IF(OR('Monthly Activity Log'!K85="In Progress",'Monthly Activity Log'!K85="Pending"),'Monthly Activity Log'!F85,"")</f>
        <v/>
      </c>
      <c r="E154" s="70">
        <f>IF(OR('Monthly Activity Log'!K85="In Progress",'Monthly Activity Log'!K85="Pending"),'Monthly Activity Log'!G85,"")</f>
        <v/>
      </c>
      <c r="F154" s="70">
        <f>IF(OR('Monthly Activity Log'!K85="In Progress",'Monthly Activity Log'!K85="Pending"),'Monthly Activity Log'!I85,"")</f>
        <v/>
      </c>
      <c r="G154" s="70">
        <f>IF(OR('Monthly Activity Log'!K85="In Progress",'Monthly Activity Log'!K85="Pending"),'Monthly Activity Log'!J85,"")</f>
        <v/>
      </c>
      <c r="H154" s="70">
        <f>IF(OR('Monthly Activity Log'!K85="In Progress",'Monthly Activity Log'!K85="Pending"),'Monthly Activity Log'!K85,"")</f>
        <v/>
      </c>
      <c r="I154" s="70">
        <f>IF(OR('Monthly Activity Log'!K85="In Progress",'Monthly Activity Log'!K85="Pending"),'Monthly Activity Log'!B85,"")</f>
        <v/>
      </c>
      <c r="J154" s="70">
        <f>IF(OR('Monthly Activity Log'!K85="In Progress",'Monthly Activity Log'!K85="Pending"),'Monthly Activity Log'!L85,"")</f>
        <v/>
      </c>
    </row>
    <row r="155" ht="15.75" customHeight="1" s="65">
      <c r="A155" s="74">
        <f>IF(OR('Monthly Activity Log'!K86="In Progress",'Monthly Activity Log'!K86="Pending"),'Monthly Activity Log'!H86,"")</f>
        <v/>
      </c>
      <c r="B155" s="74">
        <f>IF(OR('Monthly Activity Log'!K86="In Progress",'Monthly Activity Log'!K86="Pending"),'Monthly Activity Log'!C86,"")</f>
        <v/>
      </c>
      <c r="C155" s="74">
        <f>IF(OR('Monthly Activity Log'!K86="In Progress",'Monthly Activity Log'!K86="Pending"),'Monthly Activity Log'!E86,"")</f>
        <v/>
      </c>
      <c r="D155" s="74">
        <f>IF(OR('Monthly Activity Log'!K86="In Progress",'Monthly Activity Log'!K86="Pending"),'Monthly Activity Log'!F86,"")</f>
        <v/>
      </c>
      <c r="E155" s="74">
        <f>IF(OR('Monthly Activity Log'!K86="In Progress",'Monthly Activity Log'!K86="Pending"),'Monthly Activity Log'!G86,"")</f>
        <v/>
      </c>
      <c r="F155" s="74">
        <f>IF(OR('Monthly Activity Log'!K86="In Progress",'Monthly Activity Log'!K86="Pending"),'Monthly Activity Log'!I86,"")</f>
        <v/>
      </c>
      <c r="G155" s="74">
        <f>IF(OR('Monthly Activity Log'!K86="In Progress",'Monthly Activity Log'!K86="Pending"),'Monthly Activity Log'!J86,"")</f>
        <v/>
      </c>
      <c r="H155" s="74">
        <f>IF(OR('Monthly Activity Log'!K86="In Progress",'Monthly Activity Log'!K86="Pending"),'Monthly Activity Log'!K86,"")</f>
        <v/>
      </c>
      <c r="I155" s="74">
        <f>IF(OR('Monthly Activity Log'!K86="In Progress",'Monthly Activity Log'!K86="Pending"),'Monthly Activity Log'!B86,"")</f>
        <v/>
      </c>
      <c r="J155" s="74">
        <f>IF(OR('Monthly Activity Log'!K86="In Progress",'Monthly Activity Log'!K86="Pending"),'Monthly Activity Log'!L86,"")</f>
        <v/>
      </c>
    </row>
    <row r="156" ht="15.75" customHeight="1" s="65">
      <c r="A156" s="70">
        <f>IF(OR('Monthly Activity Log'!K87="In Progress",'Monthly Activity Log'!K87="Pending"),'Monthly Activity Log'!H87,"")</f>
        <v/>
      </c>
      <c r="B156" s="70">
        <f>IF(OR('Monthly Activity Log'!K87="In Progress",'Monthly Activity Log'!K87="Pending"),'Monthly Activity Log'!C87,"")</f>
        <v/>
      </c>
      <c r="C156" s="70">
        <f>IF(OR('Monthly Activity Log'!K87="In Progress",'Monthly Activity Log'!K87="Pending"),'Monthly Activity Log'!E87,"")</f>
        <v/>
      </c>
      <c r="D156" s="70">
        <f>IF(OR('Monthly Activity Log'!K87="In Progress",'Monthly Activity Log'!K87="Pending"),'Monthly Activity Log'!F87,"")</f>
        <v/>
      </c>
      <c r="E156" s="70">
        <f>IF(OR('Monthly Activity Log'!K87="In Progress",'Monthly Activity Log'!K87="Pending"),'Monthly Activity Log'!G87,"")</f>
        <v/>
      </c>
      <c r="F156" s="70">
        <f>IF(OR('Monthly Activity Log'!K87="In Progress",'Monthly Activity Log'!K87="Pending"),'Monthly Activity Log'!I87,"")</f>
        <v/>
      </c>
      <c r="G156" s="70">
        <f>IF(OR('Monthly Activity Log'!K87="In Progress",'Monthly Activity Log'!K87="Pending"),'Monthly Activity Log'!J87,"")</f>
        <v/>
      </c>
      <c r="H156" s="70">
        <f>IF(OR('Monthly Activity Log'!K87="In Progress",'Monthly Activity Log'!K87="Pending"),'Monthly Activity Log'!K87,"")</f>
        <v/>
      </c>
      <c r="I156" s="70">
        <f>IF(OR('Monthly Activity Log'!K87="In Progress",'Monthly Activity Log'!K87="Pending"),'Monthly Activity Log'!B87,"")</f>
        <v/>
      </c>
      <c r="J156" s="70">
        <f>IF(OR('Monthly Activity Log'!K87="In Progress",'Monthly Activity Log'!K87="Pending"),'Monthly Activity Log'!L87,"")</f>
        <v/>
      </c>
    </row>
    <row r="157" ht="15.75" customHeight="1" s="65">
      <c r="A157" s="74">
        <f>IF(OR('Monthly Activity Log'!K88="In Progress",'Monthly Activity Log'!K88="Pending"),'Monthly Activity Log'!H88,"")</f>
        <v/>
      </c>
      <c r="B157" s="74">
        <f>IF(OR('Monthly Activity Log'!K88="In Progress",'Monthly Activity Log'!K88="Pending"),'Monthly Activity Log'!C88,"")</f>
        <v/>
      </c>
      <c r="C157" s="74">
        <f>IF(OR('Monthly Activity Log'!K88="In Progress",'Monthly Activity Log'!K88="Pending"),'Monthly Activity Log'!E88,"")</f>
        <v/>
      </c>
      <c r="D157" s="74">
        <f>IF(OR('Monthly Activity Log'!K88="In Progress",'Monthly Activity Log'!K88="Pending"),'Monthly Activity Log'!F88,"")</f>
        <v/>
      </c>
      <c r="E157" s="74">
        <f>IF(OR('Monthly Activity Log'!K88="In Progress",'Monthly Activity Log'!K88="Pending"),'Monthly Activity Log'!G88,"")</f>
        <v/>
      </c>
      <c r="F157" s="74">
        <f>IF(OR('Monthly Activity Log'!K88="In Progress",'Monthly Activity Log'!K88="Pending"),'Monthly Activity Log'!I88,"")</f>
        <v/>
      </c>
      <c r="G157" s="74">
        <f>IF(OR('Monthly Activity Log'!K88="In Progress",'Monthly Activity Log'!K88="Pending"),'Monthly Activity Log'!J88,"")</f>
        <v/>
      </c>
      <c r="H157" s="74">
        <f>IF(OR('Monthly Activity Log'!K88="In Progress",'Monthly Activity Log'!K88="Pending"),'Monthly Activity Log'!K88,"")</f>
        <v/>
      </c>
      <c r="I157" s="74">
        <f>IF(OR('Monthly Activity Log'!K88="In Progress",'Monthly Activity Log'!K88="Pending"),'Monthly Activity Log'!B88,"")</f>
        <v/>
      </c>
      <c r="J157" s="74">
        <f>IF(OR('Monthly Activity Log'!K88="In Progress",'Monthly Activity Log'!K88="Pending"),'Monthly Activity Log'!L88,"")</f>
        <v/>
      </c>
    </row>
    <row r="158" ht="15.75" customHeight="1" s="65">
      <c r="A158" s="70">
        <f>IF(OR('Monthly Activity Log'!K89="In Progress",'Monthly Activity Log'!K89="Pending"),'Monthly Activity Log'!H89,"")</f>
        <v/>
      </c>
      <c r="B158" s="70">
        <f>IF(OR('Monthly Activity Log'!K89="In Progress",'Monthly Activity Log'!K89="Pending"),'Monthly Activity Log'!C89,"")</f>
        <v/>
      </c>
      <c r="C158" s="70">
        <f>IF(OR('Monthly Activity Log'!K89="In Progress",'Monthly Activity Log'!K89="Pending"),'Monthly Activity Log'!E89,"")</f>
        <v/>
      </c>
      <c r="D158" s="70">
        <f>IF(OR('Monthly Activity Log'!K89="In Progress",'Monthly Activity Log'!K89="Pending"),'Monthly Activity Log'!F89,"")</f>
        <v/>
      </c>
      <c r="E158" s="70">
        <f>IF(OR('Monthly Activity Log'!K89="In Progress",'Monthly Activity Log'!K89="Pending"),'Monthly Activity Log'!G89,"")</f>
        <v/>
      </c>
      <c r="F158" s="70">
        <f>IF(OR('Monthly Activity Log'!K89="In Progress",'Monthly Activity Log'!K89="Pending"),'Monthly Activity Log'!I89,"")</f>
        <v/>
      </c>
      <c r="G158" s="70">
        <f>IF(OR('Monthly Activity Log'!K89="In Progress",'Monthly Activity Log'!K89="Pending"),'Monthly Activity Log'!J89,"")</f>
        <v/>
      </c>
      <c r="H158" s="70">
        <f>IF(OR('Monthly Activity Log'!K89="In Progress",'Monthly Activity Log'!K89="Pending"),'Monthly Activity Log'!K89,"")</f>
        <v/>
      </c>
      <c r="I158" s="70">
        <f>IF(OR('Monthly Activity Log'!K89="In Progress",'Monthly Activity Log'!K89="Pending"),'Monthly Activity Log'!B89,"")</f>
        <v/>
      </c>
      <c r="J158" s="70">
        <f>IF(OR('Monthly Activity Log'!K89="In Progress",'Monthly Activity Log'!K89="Pending"),'Monthly Activity Log'!L89,"")</f>
        <v/>
      </c>
    </row>
    <row r="159" ht="15.75" customHeight="1" s="65">
      <c r="A159" s="74">
        <f>IF(OR('Monthly Activity Log'!K90="In Progress",'Monthly Activity Log'!K90="Pending"),'Monthly Activity Log'!H90,"")</f>
        <v/>
      </c>
      <c r="B159" s="74">
        <f>IF(OR('Monthly Activity Log'!K90="In Progress",'Monthly Activity Log'!K90="Pending"),'Monthly Activity Log'!C90,"")</f>
        <v/>
      </c>
      <c r="C159" s="74">
        <f>IF(OR('Monthly Activity Log'!K90="In Progress",'Monthly Activity Log'!K90="Pending"),'Monthly Activity Log'!E90,"")</f>
        <v/>
      </c>
      <c r="D159" s="74">
        <f>IF(OR('Monthly Activity Log'!K90="In Progress",'Monthly Activity Log'!K90="Pending"),'Monthly Activity Log'!F90,"")</f>
        <v/>
      </c>
      <c r="E159" s="74">
        <f>IF(OR('Monthly Activity Log'!K90="In Progress",'Monthly Activity Log'!K90="Pending"),'Monthly Activity Log'!G90,"")</f>
        <v/>
      </c>
      <c r="F159" s="74">
        <f>IF(OR('Monthly Activity Log'!K90="In Progress",'Monthly Activity Log'!K90="Pending"),'Monthly Activity Log'!I90,"")</f>
        <v/>
      </c>
      <c r="G159" s="74">
        <f>IF(OR('Monthly Activity Log'!K90="In Progress",'Monthly Activity Log'!K90="Pending"),'Monthly Activity Log'!J90,"")</f>
        <v/>
      </c>
      <c r="H159" s="74">
        <f>IF(OR('Monthly Activity Log'!K90="In Progress",'Monthly Activity Log'!K90="Pending"),'Monthly Activity Log'!K90,"")</f>
        <v/>
      </c>
      <c r="I159" s="74">
        <f>IF(OR('Monthly Activity Log'!K90="In Progress",'Monthly Activity Log'!K90="Pending"),'Monthly Activity Log'!B90,"")</f>
        <v/>
      </c>
      <c r="J159" s="74">
        <f>IF(OR('Monthly Activity Log'!K90="In Progress",'Monthly Activity Log'!K90="Pending"),'Monthly Activity Log'!L90,"")</f>
        <v/>
      </c>
    </row>
    <row r="160" ht="15.75" customHeight="1" s="65">
      <c r="A160" s="70">
        <f>IF(OR('Monthly Activity Log'!K91="In Progress",'Monthly Activity Log'!K91="Pending"),'Monthly Activity Log'!H91,"")</f>
        <v/>
      </c>
      <c r="B160" s="70">
        <f>IF(OR('Monthly Activity Log'!K91="In Progress",'Monthly Activity Log'!K91="Pending"),'Monthly Activity Log'!C91,"")</f>
        <v/>
      </c>
      <c r="C160" s="70">
        <f>IF(OR('Monthly Activity Log'!K91="In Progress",'Monthly Activity Log'!K91="Pending"),'Monthly Activity Log'!E91,"")</f>
        <v/>
      </c>
      <c r="D160" s="70">
        <f>IF(OR('Monthly Activity Log'!K91="In Progress",'Monthly Activity Log'!K91="Pending"),'Monthly Activity Log'!F91,"")</f>
        <v/>
      </c>
      <c r="E160" s="70">
        <f>IF(OR('Monthly Activity Log'!K91="In Progress",'Monthly Activity Log'!K91="Pending"),'Monthly Activity Log'!G91,"")</f>
        <v/>
      </c>
      <c r="F160" s="70">
        <f>IF(OR('Monthly Activity Log'!K91="In Progress",'Monthly Activity Log'!K91="Pending"),'Monthly Activity Log'!I91,"")</f>
        <v/>
      </c>
      <c r="G160" s="70">
        <f>IF(OR('Monthly Activity Log'!K91="In Progress",'Monthly Activity Log'!K91="Pending"),'Monthly Activity Log'!J91,"")</f>
        <v/>
      </c>
      <c r="H160" s="70">
        <f>IF(OR('Monthly Activity Log'!K91="In Progress",'Monthly Activity Log'!K91="Pending"),'Monthly Activity Log'!K91,"")</f>
        <v/>
      </c>
      <c r="I160" s="70">
        <f>IF(OR('Monthly Activity Log'!K91="In Progress",'Monthly Activity Log'!K91="Pending"),'Monthly Activity Log'!B91,"")</f>
        <v/>
      </c>
      <c r="J160" s="70">
        <f>IF(OR('Monthly Activity Log'!K91="In Progress",'Monthly Activity Log'!K91="Pending"),'Monthly Activity Log'!L91,"")</f>
        <v/>
      </c>
    </row>
    <row r="161" ht="15.75" customHeight="1" s="65">
      <c r="A161" s="74">
        <f>IF(OR('Monthly Activity Log'!K92="In Progress",'Monthly Activity Log'!K92="Pending"),'Monthly Activity Log'!H92,"")</f>
        <v/>
      </c>
      <c r="B161" s="74">
        <f>IF(OR('Monthly Activity Log'!K92="In Progress",'Monthly Activity Log'!K92="Pending"),'Monthly Activity Log'!C92,"")</f>
        <v/>
      </c>
      <c r="C161" s="74">
        <f>IF(OR('Monthly Activity Log'!K92="In Progress",'Monthly Activity Log'!K92="Pending"),'Monthly Activity Log'!E92,"")</f>
        <v/>
      </c>
      <c r="D161" s="74">
        <f>IF(OR('Monthly Activity Log'!K92="In Progress",'Monthly Activity Log'!K92="Pending"),'Monthly Activity Log'!F92,"")</f>
        <v/>
      </c>
      <c r="E161" s="74">
        <f>IF(OR('Monthly Activity Log'!K92="In Progress",'Monthly Activity Log'!K92="Pending"),'Monthly Activity Log'!G92,"")</f>
        <v/>
      </c>
      <c r="F161" s="74">
        <f>IF(OR('Monthly Activity Log'!K92="In Progress",'Monthly Activity Log'!K92="Pending"),'Monthly Activity Log'!I92,"")</f>
        <v/>
      </c>
      <c r="G161" s="74">
        <f>IF(OR('Monthly Activity Log'!K92="In Progress",'Monthly Activity Log'!K92="Pending"),'Monthly Activity Log'!J92,"")</f>
        <v/>
      </c>
      <c r="H161" s="74">
        <f>IF(OR('Monthly Activity Log'!K92="In Progress",'Monthly Activity Log'!K92="Pending"),'Monthly Activity Log'!K92,"")</f>
        <v/>
      </c>
      <c r="I161" s="74">
        <f>IF(OR('Monthly Activity Log'!K92="In Progress",'Monthly Activity Log'!K92="Pending"),'Monthly Activity Log'!B92,"")</f>
        <v/>
      </c>
      <c r="J161" s="74">
        <f>IF(OR('Monthly Activity Log'!K92="In Progress",'Monthly Activity Log'!K92="Pending"),'Monthly Activity Log'!L92,"")</f>
        <v/>
      </c>
    </row>
    <row r="162" ht="15.75" customHeight="1" s="65">
      <c r="A162" s="70">
        <f>IF(OR('Monthly Activity Log'!K93="In Progress",'Monthly Activity Log'!K93="Pending"),'Monthly Activity Log'!H93,"")</f>
        <v/>
      </c>
      <c r="B162" s="70">
        <f>IF(OR('Monthly Activity Log'!K93="In Progress",'Monthly Activity Log'!K93="Pending"),'Monthly Activity Log'!C93,"")</f>
        <v/>
      </c>
      <c r="C162" s="70">
        <f>IF(OR('Monthly Activity Log'!K93="In Progress",'Monthly Activity Log'!K93="Pending"),'Monthly Activity Log'!E93,"")</f>
        <v/>
      </c>
      <c r="D162" s="70">
        <f>IF(OR('Monthly Activity Log'!K93="In Progress",'Monthly Activity Log'!K93="Pending"),'Monthly Activity Log'!F93,"")</f>
        <v/>
      </c>
      <c r="E162" s="70">
        <f>IF(OR('Monthly Activity Log'!K93="In Progress",'Monthly Activity Log'!K93="Pending"),'Monthly Activity Log'!G93,"")</f>
        <v/>
      </c>
      <c r="F162" s="70">
        <f>IF(OR('Monthly Activity Log'!K93="In Progress",'Monthly Activity Log'!K93="Pending"),'Monthly Activity Log'!I93,"")</f>
        <v/>
      </c>
      <c r="G162" s="70">
        <f>IF(OR('Monthly Activity Log'!K93="In Progress",'Monthly Activity Log'!K93="Pending"),'Monthly Activity Log'!J93,"")</f>
        <v/>
      </c>
      <c r="H162" s="70">
        <f>IF(OR('Monthly Activity Log'!K93="In Progress",'Monthly Activity Log'!K93="Pending"),'Monthly Activity Log'!K93,"")</f>
        <v/>
      </c>
      <c r="I162" s="70">
        <f>IF(OR('Monthly Activity Log'!K93="In Progress",'Monthly Activity Log'!K93="Pending"),'Monthly Activity Log'!B93,"")</f>
        <v/>
      </c>
      <c r="J162" s="70">
        <f>IF(OR('Monthly Activity Log'!K93="In Progress",'Monthly Activity Log'!K93="Pending"),'Monthly Activity Log'!L93,"")</f>
        <v/>
      </c>
    </row>
    <row r="163" ht="15.75" customHeight="1" s="65">
      <c r="A163" s="74">
        <f>IF(OR('Monthly Activity Log'!K94="In Progress",'Monthly Activity Log'!K94="Pending"),'Monthly Activity Log'!H94,"")</f>
        <v/>
      </c>
      <c r="B163" s="74">
        <f>IF(OR('Monthly Activity Log'!K94="In Progress",'Monthly Activity Log'!K94="Pending"),'Monthly Activity Log'!C94,"")</f>
        <v/>
      </c>
      <c r="C163" s="74">
        <f>IF(OR('Monthly Activity Log'!K94="In Progress",'Monthly Activity Log'!K94="Pending"),'Monthly Activity Log'!E94,"")</f>
        <v/>
      </c>
      <c r="D163" s="74">
        <f>IF(OR('Monthly Activity Log'!K94="In Progress",'Monthly Activity Log'!K94="Pending"),'Monthly Activity Log'!F94,"")</f>
        <v/>
      </c>
      <c r="E163" s="74">
        <f>IF(OR('Monthly Activity Log'!K94="In Progress",'Monthly Activity Log'!K94="Pending"),'Monthly Activity Log'!G94,"")</f>
        <v/>
      </c>
      <c r="F163" s="74">
        <f>IF(OR('Monthly Activity Log'!K94="In Progress",'Monthly Activity Log'!K94="Pending"),'Monthly Activity Log'!I94,"")</f>
        <v/>
      </c>
      <c r="G163" s="74">
        <f>IF(OR('Monthly Activity Log'!K94="In Progress",'Monthly Activity Log'!K94="Pending"),'Monthly Activity Log'!J94,"")</f>
        <v/>
      </c>
      <c r="H163" s="74">
        <f>IF(OR('Monthly Activity Log'!K94="In Progress",'Monthly Activity Log'!K94="Pending"),'Monthly Activity Log'!K94,"")</f>
        <v/>
      </c>
      <c r="I163" s="74">
        <f>IF(OR('Monthly Activity Log'!K94="In Progress",'Monthly Activity Log'!K94="Pending"),'Monthly Activity Log'!B94,"")</f>
        <v/>
      </c>
      <c r="J163" s="74">
        <f>IF(OR('Monthly Activity Log'!K94="In Progress",'Monthly Activity Log'!K94="Pending"),'Monthly Activity Log'!L94,"")</f>
        <v/>
      </c>
    </row>
    <row r="164" ht="15.75" customHeight="1" s="65">
      <c r="A164" s="70">
        <f>IF(OR('Monthly Activity Log'!K95="In Progress",'Monthly Activity Log'!K95="Pending"),'Monthly Activity Log'!H95,"")</f>
        <v/>
      </c>
      <c r="B164" s="70">
        <f>IF(OR('Monthly Activity Log'!K95="In Progress",'Monthly Activity Log'!K95="Pending"),'Monthly Activity Log'!C95,"")</f>
        <v/>
      </c>
      <c r="C164" s="70">
        <f>IF(OR('Monthly Activity Log'!K95="In Progress",'Monthly Activity Log'!K95="Pending"),'Monthly Activity Log'!E95,"")</f>
        <v/>
      </c>
      <c r="D164" s="70">
        <f>IF(OR('Monthly Activity Log'!K95="In Progress",'Monthly Activity Log'!K95="Pending"),'Monthly Activity Log'!F95,"")</f>
        <v/>
      </c>
      <c r="E164" s="70">
        <f>IF(OR('Monthly Activity Log'!K95="In Progress",'Monthly Activity Log'!K95="Pending"),'Monthly Activity Log'!G95,"")</f>
        <v/>
      </c>
      <c r="F164" s="70">
        <f>IF(OR('Monthly Activity Log'!K95="In Progress",'Monthly Activity Log'!K95="Pending"),'Monthly Activity Log'!I95,"")</f>
        <v/>
      </c>
      <c r="G164" s="70">
        <f>IF(OR('Monthly Activity Log'!K95="In Progress",'Monthly Activity Log'!K95="Pending"),'Monthly Activity Log'!J95,"")</f>
        <v/>
      </c>
      <c r="H164" s="70">
        <f>IF(OR('Monthly Activity Log'!K95="In Progress",'Monthly Activity Log'!K95="Pending"),'Monthly Activity Log'!K95,"")</f>
        <v/>
      </c>
      <c r="I164" s="70">
        <f>IF(OR('Monthly Activity Log'!K95="In Progress",'Monthly Activity Log'!K95="Pending"),'Monthly Activity Log'!B95,"")</f>
        <v/>
      </c>
      <c r="J164" s="70">
        <f>IF(OR('Monthly Activity Log'!K95="In Progress",'Monthly Activity Log'!K95="Pending"),'Monthly Activity Log'!L95,"")</f>
        <v/>
      </c>
    </row>
    <row r="165" ht="15.75" customHeight="1" s="65">
      <c r="A165" s="74">
        <f>IF(OR('Monthly Activity Log'!K96="In Progress",'Monthly Activity Log'!K96="Pending"),'Monthly Activity Log'!H96,"")</f>
        <v/>
      </c>
      <c r="B165" s="74">
        <f>IF(OR('Monthly Activity Log'!K96="In Progress",'Monthly Activity Log'!K96="Pending"),'Monthly Activity Log'!C96,"")</f>
        <v/>
      </c>
      <c r="C165" s="74">
        <f>IF(OR('Monthly Activity Log'!K96="In Progress",'Monthly Activity Log'!K96="Pending"),'Monthly Activity Log'!E96,"")</f>
        <v/>
      </c>
      <c r="D165" s="74">
        <f>IF(OR('Monthly Activity Log'!K96="In Progress",'Monthly Activity Log'!K96="Pending"),'Monthly Activity Log'!F96,"")</f>
        <v/>
      </c>
      <c r="E165" s="74">
        <f>IF(OR('Monthly Activity Log'!K96="In Progress",'Monthly Activity Log'!K96="Pending"),'Monthly Activity Log'!G96,"")</f>
        <v/>
      </c>
      <c r="F165" s="74">
        <f>IF(OR('Monthly Activity Log'!K96="In Progress",'Monthly Activity Log'!K96="Pending"),'Monthly Activity Log'!I96,"")</f>
        <v/>
      </c>
      <c r="G165" s="74">
        <f>IF(OR('Monthly Activity Log'!K96="In Progress",'Monthly Activity Log'!K96="Pending"),'Monthly Activity Log'!J96,"")</f>
        <v/>
      </c>
      <c r="H165" s="74">
        <f>IF(OR('Monthly Activity Log'!K96="In Progress",'Monthly Activity Log'!K96="Pending"),'Monthly Activity Log'!K96,"")</f>
        <v/>
      </c>
      <c r="I165" s="74">
        <f>IF(OR('Monthly Activity Log'!K96="In Progress",'Monthly Activity Log'!K96="Pending"),'Monthly Activity Log'!B96,"")</f>
        <v/>
      </c>
      <c r="J165" s="74">
        <f>IF(OR('Monthly Activity Log'!K96="In Progress",'Monthly Activity Log'!K96="Pending"),'Monthly Activity Log'!L96,"")</f>
        <v/>
      </c>
    </row>
    <row r="166" ht="15.75" customHeight="1" s="65">
      <c r="A166" s="70">
        <f>IF(OR('Monthly Activity Log'!K97="In Progress",'Monthly Activity Log'!K97="Pending"),'Monthly Activity Log'!H97,"")</f>
        <v/>
      </c>
      <c r="B166" s="70">
        <f>IF(OR('Monthly Activity Log'!K97="In Progress",'Monthly Activity Log'!K97="Pending"),'Monthly Activity Log'!C97,"")</f>
        <v/>
      </c>
      <c r="C166" s="70">
        <f>IF(OR('Monthly Activity Log'!K97="In Progress",'Monthly Activity Log'!K97="Pending"),'Monthly Activity Log'!E97,"")</f>
        <v/>
      </c>
      <c r="D166" s="70">
        <f>IF(OR('Monthly Activity Log'!K97="In Progress",'Monthly Activity Log'!K97="Pending"),'Monthly Activity Log'!F97,"")</f>
        <v/>
      </c>
      <c r="E166" s="70">
        <f>IF(OR('Monthly Activity Log'!K97="In Progress",'Monthly Activity Log'!K97="Pending"),'Monthly Activity Log'!G97,"")</f>
        <v/>
      </c>
      <c r="F166" s="70">
        <f>IF(OR('Monthly Activity Log'!K97="In Progress",'Monthly Activity Log'!K97="Pending"),'Monthly Activity Log'!I97,"")</f>
        <v/>
      </c>
      <c r="G166" s="70">
        <f>IF(OR('Monthly Activity Log'!K97="In Progress",'Monthly Activity Log'!K97="Pending"),'Monthly Activity Log'!J97,"")</f>
        <v/>
      </c>
      <c r="H166" s="70">
        <f>IF(OR('Monthly Activity Log'!K97="In Progress",'Monthly Activity Log'!K97="Pending"),'Monthly Activity Log'!K97,"")</f>
        <v/>
      </c>
      <c r="I166" s="70">
        <f>IF(OR('Monthly Activity Log'!K97="In Progress",'Monthly Activity Log'!K97="Pending"),'Monthly Activity Log'!B97,"")</f>
        <v/>
      </c>
      <c r="J166" s="70">
        <f>IF(OR('Monthly Activity Log'!K97="In Progress",'Monthly Activity Log'!K97="Pending"),'Monthly Activity Log'!L97,"")</f>
        <v/>
      </c>
    </row>
    <row r="167" ht="15.75" customHeight="1" s="65">
      <c r="A167" s="74">
        <f>IF(OR('Monthly Activity Log'!K98="In Progress",'Monthly Activity Log'!K98="Pending"),'Monthly Activity Log'!H98,"")</f>
        <v/>
      </c>
      <c r="B167" s="74">
        <f>IF(OR('Monthly Activity Log'!K98="In Progress",'Monthly Activity Log'!K98="Pending"),'Monthly Activity Log'!C98,"")</f>
        <v/>
      </c>
      <c r="C167" s="74">
        <f>IF(OR('Monthly Activity Log'!K98="In Progress",'Monthly Activity Log'!K98="Pending"),'Monthly Activity Log'!E98,"")</f>
        <v/>
      </c>
      <c r="D167" s="74">
        <f>IF(OR('Monthly Activity Log'!K98="In Progress",'Monthly Activity Log'!K98="Pending"),'Monthly Activity Log'!F98,"")</f>
        <v/>
      </c>
      <c r="E167" s="74">
        <f>IF(OR('Monthly Activity Log'!K98="In Progress",'Monthly Activity Log'!K98="Pending"),'Monthly Activity Log'!G98,"")</f>
        <v/>
      </c>
      <c r="F167" s="74">
        <f>IF(OR('Monthly Activity Log'!K98="In Progress",'Monthly Activity Log'!K98="Pending"),'Monthly Activity Log'!I98,"")</f>
        <v/>
      </c>
      <c r="G167" s="74">
        <f>IF(OR('Monthly Activity Log'!K98="In Progress",'Monthly Activity Log'!K98="Pending"),'Monthly Activity Log'!J98,"")</f>
        <v/>
      </c>
      <c r="H167" s="74">
        <f>IF(OR('Monthly Activity Log'!K98="In Progress",'Monthly Activity Log'!K98="Pending"),'Monthly Activity Log'!K98,"")</f>
        <v/>
      </c>
      <c r="I167" s="74">
        <f>IF(OR('Monthly Activity Log'!K98="In Progress",'Monthly Activity Log'!K98="Pending"),'Monthly Activity Log'!B98,"")</f>
        <v/>
      </c>
      <c r="J167" s="74">
        <f>IF(OR('Monthly Activity Log'!K98="In Progress",'Monthly Activity Log'!K98="Pending"),'Monthly Activity Log'!L98,"")</f>
        <v/>
      </c>
    </row>
    <row r="168" ht="15.75" customHeight="1" s="65">
      <c r="A168" s="70">
        <f>IF(OR('Monthly Activity Log'!K99="In Progress",'Monthly Activity Log'!K99="Pending"),'Monthly Activity Log'!H99,"")</f>
        <v/>
      </c>
      <c r="B168" s="70">
        <f>IF(OR('Monthly Activity Log'!K99="In Progress",'Monthly Activity Log'!K99="Pending"),'Monthly Activity Log'!C99,"")</f>
        <v/>
      </c>
      <c r="C168" s="70">
        <f>IF(OR('Monthly Activity Log'!K99="In Progress",'Monthly Activity Log'!K99="Pending"),'Monthly Activity Log'!E99,"")</f>
        <v/>
      </c>
      <c r="D168" s="70">
        <f>IF(OR('Monthly Activity Log'!K99="In Progress",'Monthly Activity Log'!K99="Pending"),'Monthly Activity Log'!F99,"")</f>
        <v/>
      </c>
      <c r="E168" s="70">
        <f>IF(OR('Monthly Activity Log'!K99="In Progress",'Monthly Activity Log'!K99="Pending"),'Monthly Activity Log'!G99,"")</f>
        <v/>
      </c>
      <c r="F168" s="70">
        <f>IF(OR('Monthly Activity Log'!K99="In Progress",'Monthly Activity Log'!K99="Pending"),'Monthly Activity Log'!I99,"")</f>
        <v/>
      </c>
      <c r="G168" s="70">
        <f>IF(OR('Monthly Activity Log'!K99="In Progress",'Monthly Activity Log'!K99="Pending"),'Monthly Activity Log'!J99,"")</f>
        <v/>
      </c>
      <c r="H168" s="70">
        <f>IF(OR('Monthly Activity Log'!K99="In Progress",'Monthly Activity Log'!K99="Pending"),'Monthly Activity Log'!K99,"")</f>
        <v/>
      </c>
      <c r="I168" s="70">
        <f>IF(OR('Monthly Activity Log'!K99="In Progress",'Monthly Activity Log'!K99="Pending"),'Monthly Activity Log'!B99,"")</f>
        <v/>
      </c>
      <c r="J168" s="70">
        <f>IF(OR('Monthly Activity Log'!K99="In Progress",'Monthly Activity Log'!K99="Pending"),'Monthly Activity Log'!L99,"")</f>
        <v/>
      </c>
    </row>
    <row r="169" ht="15.75" customHeight="1" s="65">
      <c r="A169" s="74">
        <f>IF(OR('Monthly Activity Log'!K100="In Progress",'Monthly Activity Log'!K100="Pending"),'Monthly Activity Log'!H100,"")</f>
        <v/>
      </c>
      <c r="B169" s="74">
        <f>IF(OR('Monthly Activity Log'!K100="In Progress",'Monthly Activity Log'!K100="Pending"),'Monthly Activity Log'!C100,"")</f>
        <v/>
      </c>
      <c r="C169" s="74">
        <f>IF(OR('Monthly Activity Log'!K100="In Progress",'Monthly Activity Log'!K100="Pending"),'Monthly Activity Log'!E100,"")</f>
        <v/>
      </c>
      <c r="D169" s="74">
        <f>IF(OR('Monthly Activity Log'!K100="In Progress",'Monthly Activity Log'!K100="Pending"),'Monthly Activity Log'!F100,"")</f>
        <v/>
      </c>
      <c r="E169" s="74">
        <f>IF(OR('Monthly Activity Log'!K100="In Progress",'Monthly Activity Log'!K100="Pending"),'Monthly Activity Log'!G100,"")</f>
        <v/>
      </c>
      <c r="F169" s="74">
        <f>IF(OR('Monthly Activity Log'!K100="In Progress",'Monthly Activity Log'!K100="Pending"),'Monthly Activity Log'!I100,"")</f>
        <v/>
      </c>
      <c r="G169" s="74">
        <f>IF(OR('Monthly Activity Log'!K100="In Progress",'Monthly Activity Log'!K100="Pending"),'Monthly Activity Log'!J100,"")</f>
        <v/>
      </c>
      <c r="H169" s="74">
        <f>IF(OR('Monthly Activity Log'!K100="In Progress",'Monthly Activity Log'!K100="Pending"),'Monthly Activity Log'!K100,"")</f>
        <v/>
      </c>
      <c r="I169" s="74">
        <f>IF(OR('Monthly Activity Log'!K100="In Progress",'Monthly Activity Log'!K100="Pending"),'Monthly Activity Log'!B100,"")</f>
        <v/>
      </c>
      <c r="J169" s="74">
        <f>IF(OR('Monthly Activity Log'!K100="In Progress",'Monthly Activity Log'!K100="Pending"),'Monthly Activity Log'!L100,"")</f>
        <v/>
      </c>
    </row>
    <row r="170" ht="15.75" customHeight="1" s="65">
      <c r="A170" s="70">
        <f>IF(OR('Monthly Activity Log'!K101="In Progress",'Monthly Activity Log'!K101="Pending"),'Monthly Activity Log'!H101,"")</f>
        <v/>
      </c>
      <c r="B170" s="70">
        <f>IF(OR('Monthly Activity Log'!K101="In Progress",'Monthly Activity Log'!K101="Pending"),'Monthly Activity Log'!C101,"")</f>
        <v/>
      </c>
      <c r="C170" s="70">
        <f>IF(OR('Monthly Activity Log'!K101="In Progress",'Monthly Activity Log'!K101="Pending"),'Monthly Activity Log'!E101,"")</f>
        <v/>
      </c>
      <c r="D170" s="70">
        <f>IF(OR('Monthly Activity Log'!K101="In Progress",'Monthly Activity Log'!K101="Pending"),'Monthly Activity Log'!F101,"")</f>
        <v/>
      </c>
      <c r="E170" s="70">
        <f>IF(OR('Monthly Activity Log'!K101="In Progress",'Monthly Activity Log'!K101="Pending"),'Monthly Activity Log'!G101,"")</f>
        <v/>
      </c>
      <c r="F170" s="70">
        <f>IF(OR('Monthly Activity Log'!K101="In Progress",'Monthly Activity Log'!K101="Pending"),'Monthly Activity Log'!I101,"")</f>
        <v/>
      </c>
      <c r="G170" s="70">
        <f>IF(OR('Monthly Activity Log'!K101="In Progress",'Monthly Activity Log'!K101="Pending"),'Monthly Activity Log'!J101,"")</f>
        <v/>
      </c>
      <c r="H170" s="70">
        <f>IF(OR('Monthly Activity Log'!K101="In Progress",'Monthly Activity Log'!K101="Pending"),'Monthly Activity Log'!K101,"")</f>
        <v/>
      </c>
      <c r="I170" s="70">
        <f>IF(OR('Monthly Activity Log'!K101="In Progress",'Monthly Activity Log'!K101="Pending"),'Monthly Activity Log'!B101,"")</f>
        <v/>
      </c>
      <c r="J170" s="70">
        <f>IF(OR('Monthly Activity Log'!K101="In Progress",'Monthly Activity Log'!K101="Pending"),'Monthly Activity Log'!L101,"")</f>
        <v/>
      </c>
    </row>
    <row r="171" ht="15.75" customHeight="1" s="65">
      <c r="A171" s="74">
        <f>IF(OR('Monthly Activity Log'!K102="In Progress",'Monthly Activity Log'!K102="Pending"),'Monthly Activity Log'!H102,"")</f>
        <v/>
      </c>
      <c r="B171" s="74">
        <f>IF(OR('Monthly Activity Log'!K102="In Progress",'Monthly Activity Log'!K102="Pending"),'Monthly Activity Log'!C102,"")</f>
        <v/>
      </c>
      <c r="C171" s="74">
        <f>IF(OR('Monthly Activity Log'!K102="In Progress",'Monthly Activity Log'!K102="Pending"),'Monthly Activity Log'!E102,"")</f>
        <v/>
      </c>
      <c r="D171" s="74">
        <f>IF(OR('Monthly Activity Log'!K102="In Progress",'Monthly Activity Log'!K102="Pending"),'Monthly Activity Log'!F102,"")</f>
        <v/>
      </c>
      <c r="E171" s="74">
        <f>IF(OR('Monthly Activity Log'!K102="In Progress",'Monthly Activity Log'!K102="Pending"),'Monthly Activity Log'!G102,"")</f>
        <v/>
      </c>
      <c r="F171" s="74">
        <f>IF(OR('Monthly Activity Log'!K102="In Progress",'Monthly Activity Log'!K102="Pending"),'Monthly Activity Log'!I102,"")</f>
        <v/>
      </c>
      <c r="G171" s="74">
        <f>IF(OR('Monthly Activity Log'!K102="In Progress",'Monthly Activity Log'!K102="Pending"),'Monthly Activity Log'!J102,"")</f>
        <v/>
      </c>
      <c r="H171" s="74">
        <f>IF(OR('Monthly Activity Log'!K102="In Progress",'Monthly Activity Log'!K102="Pending"),'Monthly Activity Log'!K102,"")</f>
        <v/>
      </c>
      <c r="I171" s="74">
        <f>IF(OR('Monthly Activity Log'!K102="In Progress",'Monthly Activity Log'!K102="Pending"),'Monthly Activity Log'!B102,"")</f>
        <v/>
      </c>
      <c r="J171" s="74">
        <f>IF(OR('Monthly Activity Log'!K102="In Progress",'Monthly Activity Log'!K102="Pending"),'Monthly Activity Log'!L102,"")</f>
        <v/>
      </c>
    </row>
    <row r="172" ht="15.75" customHeight="1" s="65">
      <c r="A172" s="70">
        <f>IF(OR('Monthly Activity Log'!K103="In Progress",'Monthly Activity Log'!K103="Pending"),'Monthly Activity Log'!H103,"")</f>
        <v/>
      </c>
      <c r="B172" s="70">
        <f>IF(OR('Monthly Activity Log'!K103="In Progress",'Monthly Activity Log'!K103="Pending"),'Monthly Activity Log'!C103,"")</f>
        <v/>
      </c>
      <c r="C172" s="70">
        <f>IF(OR('Monthly Activity Log'!K103="In Progress",'Monthly Activity Log'!K103="Pending"),'Monthly Activity Log'!E103,"")</f>
        <v/>
      </c>
      <c r="D172" s="70">
        <f>IF(OR('Monthly Activity Log'!K103="In Progress",'Monthly Activity Log'!K103="Pending"),'Monthly Activity Log'!F103,"")</f>
        <v/>
      </c>
      <c r="E172" s="70">
        <f>IF(OR('Monthly Activity Log'!K103="In Progress",'Monthly Activity Log'!K103="Pending"),'Monthly Activity Log'!G103,"")</f>
        <v/>
      </c>
      <c r="F172" s="70">
        <f>IF(OR('Monthly Activity Log'!K103="In Progress",'Monthly Activity Log'!K103="Pending"),'Monthly Activity Log'!I103,"")</f>
        <v/>
      </c>
      <c r="G172" s="70">
        <f>IF(OR('Monthly Activity Log'!K103="In Progress",'Monthly Activity Log'!K103="Pending"),'Monthly Activity Log'!J103,"")</f>
        <v/>
      </c>
      <c r="H172" s="70">
        <f>IF(OR('Monthly Activity Log'!K103="In Progress",'Monthly Activity Log'!K103="Pending"),'Monthly Activity Log'!K103,"")</f>
        <v/>
      </c>
      <c r="I172" s="70">
        <f>IF(OR('Monthly Activity Log'!K103="In Progress",'Monthly Activity Log'!K103="Pending"),'Monthly Activity Log'!B103,"")</f>
        <v/>
      </c>
      <c r="J172" s="70">
        <f>IF(OR('Monthly Activity Log'!K103="In Progress",'Monthly Activity Log'!K103="Pending"),'Monthly Activity Log'!L103,"")</f>
        <v/>
      </c>
    </row>
    <row r="173" ht="15.75" customHeight="1" s="65">
      <c r="A173" s="74">
        <f>IF(OR('Monthly Activity Log'!K104="In Progress",'Monthly Activity Log'!K104="Pending"),'Monthly Activity Log'!H104,"")</f>
        <v/>
      </c>
      <c r="B173" s="74">
        <f>IF(OR('Monthly Activity Log'!K104="In Progress",'Monthly Activity Log'!K104="Pending"),'Monthly Activity Log'!C104,"")</f>
        <v/>
      </c>
      <c r="C173" s="74">
        <f>IF(OR('Monthly Activity Log'!K104="In Progress",'Monthly Activity Log'!K104="Pending"),'Monthly Activity Log'!E104,"")</f>
        <v/>
      </c>
      <c r="D173" s="74">
        <f>IF(OR('Monthly Activity Log'!K104="In Progress",'Monthly Activity Log'!K104="Pending"),'Monthly Activity Log'!F104,"")</f>
        <v/>
      </c>
      <c r="E173" s="74">
        <f>IF(OR('Monthly Activity Log'!K104="In Progress",'Monthly Activity Log'!K104="Pending"),'Monthly Activity Log'!G104,"")</f>
        <v/>
      </c>
      <c r="F173" s="74">
        <f>IF(OR('Monthly Activity Log'!K104="In Progress",'Monthly Activity Log'!K104="Pending"),'Monthly Activity Log'!I104,"")</f>
        <v/>
      </c>
      <c r="G173" s="74">
        <f>IF(OR('Monthly Activity Log'!K104="In Progress",'Monthly Activity Log'!K104="Pending"),'Monthly Activity Log'!J104,"")</f>
        <v/>
      </c>
      <c r="H173" s="74">
        <f>IF(OR('Monthly Activity Log'!K104="In Progress",'Monthly Activity Log'!K104="Pending"),'Monthly Activity Log'!K104,"")</f>
        <v/>
      </c>
      <c r="I173" s="74">
        <f>IF(OR('Monthly Activity Log'!K104="In Progress",'Monthly Activity Log'!K104="Pending"),'Monthly Activity Log'!B104,"")</f>
        <v/>
      </c>
      <c r="J173" s="74">
        <f>IF(OR('Monthly Activity Log'!K104="In Progress",'Monthly Activity Log'!K104="Pending"),'Monthly Activity Log'!L104,"")</f>
        <v/>
      </c>
    </row>
    <row r="174" ht="15.75" customHeight="1" s="65">
      <c r="A174" s="70">
        <f>IF(OR('Monthly Activity Log'!K105="In Progress",'Monthly Activity Log'!K105="Pending"),'Monthly Activity Log'!H105,"")</f>
        <v/>
      </c>
      <c r="B174" s="70">
        <f>IF(OR('Monthly Activity Log'!K105="In Progress",'Monthly Activity Log'!K105="Pending"),'Monthly Activity Log'!C105,"")</f>
        <v/>
      </c>
      <c r="C174" s="70">
        <f>IF(OR('Monthly Activity Log'!K105="In Progress",'Monthly Activity Log'!K105="Pending"),'Monthly Activity Log'!E105,"")</f>
        <v/>
      </c>
      <c r="D174" s="70">
        <f>IF(OR('Monthly Activity Log'!K105="In Progress",'Monthly Activity Log'!K105="Pending"),'Monthly Activity Log'!F105,"")</f>
        <v/>
      </c>
      <c r="E174" s="70">
        <f>IF(OR('Monthly Activity Log'!K105="In Progress",'Monthly Activity Log'!K105="Pending"),'Monthly Activity Log'!G105,"")</f>
        <v/>
      </c>
      <c r="F174" s="70">
        <f>IF(OR('Monthly Activity Log'!K105="In Progress",'Monthly Activity Log'!K105="Pending"),'Monthly Activity Log'!I105,"")</f>
        <v/>
      </c>
      <c r="G174" s="70">
        <f>IF(OR('Monthly Activity Log'!K105="In Progress",'Monthly Activity Log'!K105="Pending"),'Monthly Activity Log'!J105,"")</f>
        <v/>
      </c>
      <c r="H174" s="70">
        <f>IF(OR('Monthly Activity Log'!K105="In Progress",'Monthly Activity Log'!K105="Pending"),'Monthly Activity Log'!K105,"")</f>
        <v/>
      </c>
      <c r="I174" s="70">
        <f>IF(OR('Monthly Activity Log'!K105="In Progress",'Monthly Activity Log'!K105="Pending"),'Monthly Activity Log'!B105,"")</f>
        <v/>
      </c>
      <c r="J174" s="70">
        <f>IF(OR('Monthly Activity Log'!K105="In Progress",'Monthly Activity Log'!K105="Pending"),'Monthly Activity Log'!L105,"")</f>
        <v/>
      </c>
    </row>
    <row r="175" ht="15.75" customHeight="1" s="65">
      <c r="A175" s="74">
        <f>IF(OR('Monthly Activity Log'!K106="In Progress",'Monthly Activity Log'!K106="Pending"),'Monthly Activity Log'!H106,"")</f>
        <v/>
      </c>
      <c r="B175" s="74">
        <f>IF(OR('Monthly Activity Log'!K106="In Progress",'Monthly Activity Log'!K106="Pending"),'Monthly Activity Log'!C106,"")</f>
        <v/>
      </c>
      <c r="C175" s="74">
        <f>IF(OR('Monthly Activity Log'!K106="In Progress",'Monthly Activity Log'!K106="Pending"),'Monthly Activity Log'!E106,"")</f>
        <v/>
      </c>
      <c r="D175" s="74">
        <f>IF(OR('Monthly Activity Log'!K106="In Progress",'Monthly Activity Log'!K106="Pending"),'Monthly Activity Log'!F106,"")</f>
        <v/>
      </c>
      <c r="E175" s="74">
        <f>IF(OR('Monthly Activity Log'!K106="In Progress",'Monthly Activity Log'!K106="Pending"),'Monthly Activity Log'!G106,"")</f>
        <v/>
      </c>
      <c r="F175" s="74">
        <f>IF(OR('Monthly Activity Log'!K106="In Progress",'Monthly Activity Log'!K106="Pending"),'Monthly Activity Log'!I106,"")</f>
        <v/>
      </c>
      <c r="G175" s="74">
        <f>IF(OR('Monthly Activity Log'!K106="In Progress",'Monthly Activity Log'!K106="Pending"),'Monthly Activity Log'!J106,"")</f>
        <v/>
      </c>
      <c r="H175" s="74">
        <f>IF(OR('Monthly Activity Log'!K106="In Progress",'Monthly Activity Log'!K106="Pending"),'Monthly Activity Log'!K106,"")</f>
        <v/>
      </c>
      <c r="I175" s="74">
        <f>IF(OR('Monthly Activity Log'!K106="In Progress",'Monthly Activity Log'!K106="Pending"),'Monthly Activity Log'!B106,"")</f>
        <v/>
      </c>
      <c r="J175" s="74">
        <f>IF(OR('Monthly Activity Log'!K106="In Progress",'Monthly Activity Log'!K106="Pending"),'Monthly Activity Log'!L106,"")</f>
        <v/>
      </c>
    </row>
    <row r="176" ht="15.75" customHeight="1" s="65">
      <c r="A176" s="70">
        <f>IF(OR('Monthly Activity Log'!K107="In Progress",'Monthly Activity Log'!K107="Pending"),'Monthly Activity Log'!H107,"")</f>
        <v/>
      </c>
      <c r="B176" s="70">
        <f>IF(OR('Monthly Activity Log'!K107="In Progress",'Monthly Activity Log'!K107="Pending"),'Monthly Activity Log'!C107,"")</f>
        <v/>
      </c>
      <c r="C176" s="70">
        <f>IF(OR('Monthly Activity Log'!K107="In Progress",'Monthly Activity Log'!K107="Pending"),'Monthly Activity Log'!E107,"")</f>
        <v/>
      </c>
      <c r="D176" s="70">
        <f>IF(OR('Monthly Activity Log'!K107="In Progress",'Monthly Activity Log'!K107="Pending"),'Monthly Activity Log'!F107,"")</f>
        <v/>
      </c>
      <c r="E176" s="70">
        <f>IF(OR('Monthly Activity Log'!K107="In Progress",'Monthly Activity Log'!K107="Pending"),'Monthly Activity Log'!G107,"")</f>
        <v/>
      </c>
      <c r="F176" s="70">
        <f>IF(OR('Monthly Activity Log'!K107="In Progress",'Monthly Activity Log'!K107="Pending"),'Monthly Activity Log'!I107,"")</f>
        <v/>
      </c>
      <c r="G176" s="70">
        <f>IF(OR('Monthly Activity Log'!K107="In Progress",'Monthly Activity Log'!K107="Pending"),'Monthly Activity Log'!J107,"")</f>
        <v/>
      </c>
      <c r="H176" s="70">
        <f>IF(OR('Monthly Activity Log'!K107="In Progress",'Monthly Activity Log'!K107="Pending"),'Monthly Activity Log'!K107,"")</f>
        <v/>
      </c>
      <c r="I176" s="70">
        <f>IF(OR('Monthly Activity Log'!K107="In Progress",'Monthly Activity Log'!K107="Pending"),'Monthly Activity Log'!B107,"")</f>
        <v/>
      </c>
      <c r="J176" s="70">
        <f>IF(OR('Monthly Activity Log'!K107="In Progress",'Monthly Activity Log'!K107="Pending"),'Monthly Activity Log'!L107,"")</f>
        <v/>
      </c>
    </row>
    <row r="177" ht="15.75" customHeight="1" s="65">
      <c r="A177" s="74">
        <f>IF(OR('Monthly Activity Log'!K108="In Progress",'Monthly Activity Log'!K108="Pending"),'Monthly Activity Log'!H108,"")</f>
        <v/>
      </c>
      <c r="B177" s="74">
        <f>IF(OR('Monthly Activity Log'!K108="In Progress",'Monthly Activity Log'!K108="Pending"),'Monthly Activity Log'!C108,"")</f>
        <v/>
      </c>
      <c r="C177" s="74">
        <f>IF(OR('Monthly Activity Log'!K108="In Progress",'Monthly Activity Log'!K108="Pending"),'Monthly Activity Log'!E108,"")</f>
        <v/>
      </c>
      <c r="D177" s="74">
        <f>IF(OR('Monthly Activity Log'!K108="In Progress",'Monthly Activity Log'!K108="Pending"),'Monthly Activity Log'!F108,"")</f>
        <v/>
      </c>
      <c r="E177" s="74">
        <f>IF(OR('Monthly Activity Log'!K108="In Progress",'Monthly Activity Log'!K108="Pending"),'Monthly Activity Log'!G108,"")</f>
        <v/>
      </c>
      <c r="F177" s="74">
        <f>IF(OR('Monthly Activity Log'!K108="In Progress",'Monthly Activity Log'!K108="Pending"),'Monthly Activity Log'!I108,"")</f>
        <v/>
      </c>
      <c r="G177" s="74">
        <f>IF(OR('Monthly Activity Log'!K108="In Progress",'Monthly Activity Log'!K108="Pending"),'Monthly Activity Log'!J108,"")</f>
        <v/>
      </c>
      <c r="H177" s="74">
        <f>IF(OR('Monthly Activity Log'!K108="In Progress",'Monthly Activity Log'!K108="Pending"),'Monthly Activity Log'!K108,"")</f>
        <v/>
      </c>
      <c r="I177" s="74">
        <f>IF(OR('Monthly Activity Log'!K108="In Progress",'Monthly Activity Log'!K108="Pending"),'Monthly Activity Log'!B108,"")</f>
        <v/>
      </c>
      <c r="J177" s="74">
        <f>IF(OR('Monthly Activity Log'!K108="In Progress",'Monthly Activity Log'!K108="Pending"),'Monthly Activity Log'!L108,"")</f>
        <v/>
      </c>
    </row>
    <row r="178" ht="15.75" customHeight="1" s="65">
      <c r="A178" s="70">
        <f>IF(OR('Monthly Activity Log'!K109="In Progress",'Monthly Activity Log'!K109="Pending"),'Monthly Activity Log'!H109,"")</f>
        <v/>
      </c>
      <c r="B178" s="70">
        <f>IF(OR('Monthly Activity Log'!K109="In Progress",'Monthly Activity Log'!K109="Pending"),'Monthly Activity Log'!C109,"")</f>
        <v/>
      </c>
      <c r="C178" s="70">
        <f>IF(OR('Monthly Activity Log'!K109="In Progress",'Monthly Activity Log'!K109="Pending"),'Monthly Activity Log'!E109,"")</f>
        <v/>
      </c>
      <c r="D178" s="70">
        <f>IF(OR('Monthly Activity Log'!K109="In Progress",'Monthly Activity Log'!K109="Pending"),'Monthly Activity Log'!F109,"")</f>
        <v/>
      </c>
      <c r="E178" s="70">
        <f>IF(OR('Monthly Activity Log'!K109="In Progress",'Monthly Activity Log'!K109="Pending"),'Monthly Activity Log'!G109,"")</f>
        <v/>
      </c>
      <c r="F178" s="70">
        <f>IF(OR('Monthly Activity Log'!K109="In Progress",'Monthly Activity Log'!K109="Pending"),'Monthly Activity Log'!I109,"")</f>
        <v/>
      </c>
      <c r="G178" s="70">
        <f>IF(OR('Monthly Activity Log'!K109="In Progress",'Monthly Activity Log'!K109="Pending"),'Monthly Activity Log'!J109,"")</f>
        <v/>
      </c>
      <c r="H178" s="70">
        <f>IF(OR('Monthly Activity Log'!K109="In Progress",'Monthly Activity Log'!K109="Pending"),'Monthly Activity Log'!K109,"")</f>
        <v/>
      </c>
      <c r="I178" s="70">
        <f>IF(OR('Monthly Activity Log'!K109="In Progress",'Monthly Activity Log'!K109="Pending"),'Monthly Activity Log'!B109,"")</f>
        <v/>
      </c>
      <c r="J178" s="70">
        <f>IF(OR('Monthly Activity Log'!K109="In Progress",'Monthly Activity Log'!K109="Pending"),'Monthly Activity Log'!L109,"")</f>
        <v/>
      </c>
    </row>
    <row r="179" ht="15.75" customHeight="1" s="65">
      <c r="A179" s="74">
        <f>IF(OR('Monthly Activity Log'!K110="In Progress",'Monthly Activity Log'!K110="Pending"),'Monthly Activity Log'!H110,"")</f>
        <v/>
      </c>
      <c r="B179" s="74">
        <f>IF(OR('Monthly Activity Log'!K110="In Progress",'Monthly Activity Log'!K110="Pending"),'Monthly Activity Log'!C110,"")</f>
        <v/>
      </c>
      <c r="C179" s="74">
        <f>IF(OR('Monthly Activity Log'!K110="In Progress",'Monthly Activity Log'!K110="Pending"),'Monthly Activity Log'!E110,"")</f>
        <v/>
      </c>
      <c r="D179" s="74">
        <f>IF(OR('Monthly Activity Log'!K110="In Progress",'Monthly Activity Log'!K110="Pending"),'Monthly Activity Log'!F110,"")</f>
        <v/>
      </c>
      <c r="E179" s="74">
        <f>IF(OR('Monthly Activity Log'!K110="In Progress",'Monthly Activity Log'!K110="Pending"),'Monthly Activity Log'!G110,"")</f>
        <v/>
      </c>
      <c r="F179" s="74">
        <f>IF(OR('Monthly Activity Log'!K110="In Progress",'Monthly Activity Log'!K110="Pending"),'Monthly Activity Log'!I110,"")</f>
        <v/>
      </c>
      <c r="G179" s="74">
        <f>IF(OR('Monthly Activity Log'!K110="In Progress",'Monthly Activity Log'!K110="Pending"),'Monthly Activity Log'!J110,"")</f>
        <v/>
      </c>
      <c r="H179" s="74">
        <f>IF(OR('Monthly Activity Log'!K110="In Progress",'Monthly Activity Log'!K110="Pending"),'Monthly Activity Log'!K110,"")</f>
        <v/>
      </c>
      <c r="I179" s="74">
        <f>IF(OR('Monthly Activity Log'!K110="In Progress",'Monthly Activity Log'!K110="Pending"),'Monthly Activity Log'!B110,"")</f>
        <v/>
      </c>
      <c r="J179" s="74">
        <f>IF(OR('Monthly Activity Log'!K110="In Progress",'Monthly Activity Log'!K110="Pending"),'Monthly Activity Log'!L110,"")</f>
        <v/>
      </c>
    </row>
    <row r="180" ht="15.75" customHeight="1" s="65">
      <c r="A180" s="70">
        <f>IF(OR('Monthly Activity Log'!K111="In Progress",'Monthly Activity Log'!K111="Pending"),'Monthly Activity Log'!H111,"")</f>
        <v/>
      </c>
      <c r="B180" s="70">
        <f>IF(OR('Monthly Activity Log'!K111="In Progress",'Monthly Activity Log'!K111="Pending"),'Monthly Activity Log'!C111,"")</f>
        <v/>
      </c>
      <c r="C180" s="70">
        <f>IF(OR('Monthly Activity Log'!K111="In Progress",'Monthly Activity Log'!K111="Pending"),'Monthly Activity Log'!E111,"")</f>
        <v/>
      </c>
      <c r="D180" s="70">
        <f>IF(OR('Monthly Activity Log'!K111="In Progress",'Monthly Activity Log'!K111="Pending"),'Monthly Activity Log'!F111,"")</f>
        <v/>
      </c>
      <c r="E180" s="70">
        <f>IF(OR('Monthly Activity Log'!K111="In Progress",'Monthly Activity Log'!K111="Pending"),'Monthly Activity Log'!G111,"")</f>
        <v/>
      </c>
      <c r="F180" s="70">
        <f>IF(OR('Monthly Activity Log'!K111="In Progress",'Monthly Activity Log'!K111="Pending"),'Monthly Activity Log'!I111,"")</f>
        <v/>
      </c>
      <c r="G180" s="70">
        <f>IF(OR('Monthly Activity Log'!K111="In Progress",'Monthly Activity Log'!K111="Pending"),'Monthly Activity Log'!J111,"")</f>
        <v/>
      </c>
      <c r="H180" s="70">
        <f>IF(OR('Monthly Activity Log'!K111="In Progress",'Monthly Activity Log'!K111="Pending"),'Monthly Activity Log'!K111,"")</f>
        <v/>
      </c>
      <c r="I180" s="70">
        <f>IF(OR('Monthly Activity Log'!K111="In Progress",'Monthly Activity Log'!K111="Pending"),'Monthly Activity Log'!B111,"")</f>
        <v/>
      </c>
      <c r="J180" s="70">
        <f>IF(OR('Monthly Activity Log'!K111="In Progress",'Monthly Activity Log'!K111="Pending"),'Monthly Activity Log'!L111,"")</f>
        <v/>
      </c>
    </row>
    <row r="181" ht="15.75" customHeight="1" s="65">
      <c r="A181" s="74">
        <f>IF(OR('Monthly Activity Log'!K112="In Progress",'Monthly Activity Log'!K112="Pending"),'Monthly Activity Log'!H112,"")</f>
        <v/>
      </c>
      <c r="B181" s="74">
        <f>IF(OR('Monthly Activity Log'!K112="In Progress",'Monthly Activity Log'!K112="Pending"),'Monthly Activity Log'!C112,"")</f>
        <v/>
      </c>
      <c r="C181" s="74">
        <f>IF(OR('Monthly Activity Log'!K112="In Progress",'Monthly Activity Log'!K112="Pending"),'Monthly Activity Log'!E112,"")</f>
        <v/>
      </c>
      <c r="D181" s="74">
        <f>IF(OR('Monthly Activity Log'!K112="In Progress",'Monthly Activity Log'!K112="Pending"),'Monthly Activity Log'!F112,"")</f>
        <v/>
      </c>
      <c r="E181" s="74">
        <f>IF(OR('Monthly Activity Log'!K112="In Progress",'Monthly Activity Log'!K112="Pending"),'Monthly Activity Log'!G112,"")</f>
        <v/>
      </c>
      <c r="F181" s="74">
        <f>IF(OR('Monthly Activity Log'!K112="In Progress",'Monthly Activity Log'!K112="Pending"),'Monthly Activity Log'!I112,"")</f>
        <v/>
      </c>
      <c r="G181" s="74">
        <f>IF(OR('Monthly Activity Log'!K112="In Progress",'Monthly Activity Log'!K112="Pending"),'Monthly Activity Log'!J112,"")</f>
        <v/>
      </c>
      <c r="H181" s="74">
        <f>IF(OR('Monthly Activity Log'!K112="In Progress",'Monthly Activity Log'!K112="Pending"),'Monthly Activity Log'!K112,"")</f>
        <v/>
      </c>
      <c r="I181" s="74">
        <f>IF(OR('Monthly Activity Log'!K112="In Progress",'Monthly Activity Log'!K112="Pending"),'Monthly Activity Log'!B112,"")</f>
        <v/>
      </c>
      <c r="J181" s="74">
        <f>IF(OR('Monthly Activity Log'!K112="In Progress",'Monthly Activity Log'!K112="Pending"),'Monthly Activity Log'!L112,"")</f>
        <v/>
      </c>
    </row>
    <row r="182" ht="15.75" customHeight="1" s="65">
      <c r="A182" s="70">
        <f>IF(OR('Monthly Activity Log'!K113="In Progress",'Monthly Activity Log'!K113="Pending"),'Monthly Activity Log'!H113,"")</f>
        <v/>
      </c>
      <c r="B182" s="70">
        <f>IF(OR('Monthly Activity Log'!K113="In Progress",'Monthly Activity Log'!K113="Pending"),'Monthly Activity Log'!C113,"")</f>
        <v/>
      </c>
      <c r="C182" s="70">
        <f>IF(OR('Monthly Activity Log'!K113="In Progress",'Monthly Activity Log'!K113="Pending"),'Monthly Activity Log'!E113,"")</f>
        <v/>
      </c>
      <c r="D182" s="70">
        <f>IF(OR('Monthly Activity Log'!K113="In Progress",'Monthly Activity Log'!K113="Pending"),'Monthly Activity Log'!F113,"")</f>
        <v/>
      </c>
      <c r="E182" s="70">
        <f>IF(OR('Monthly Activity Log'!K113="In Progress",'Monthly Activity Log'!K113="Pending"),'Monthly Activity Log'!G113,"")</f>
        <v/>
      </c>
      <c r="F182" s="70">
        <f>IF(OR('Monthly Activity Log'!K113="In Progress",'Monthly Activity Log'!K113="Pending"),'Monthly Activity Log'!I113,"")</f>
        <v/>
      </c>
      <c r="G182" s="70">
        <f>IF(OR('Monthly Activity Log'!K113="In Progress",'Monthly Activity Log'!K113="Pending"),'Monthly Activity Log'!J113,"")</f>
        <v/>
      </c>
      <c r="H182" s="70">
        <f>IF(OR('Monthly Activity Log'!K113="In Progress",'Monthly Activity Log'!K113="Pending"),'Monthly Activity Log'!K113,"")</f>
        <v/>
      </c>
      <c r="I182" s="70">
        <f>IF(OR('Monthly Activity Log'!K113="In Progress",'Monthly Activity Log'!K113="Pending"),'Monthly Activity Log'!B113,"")</f>
        <v/>
      </c>
      <c r="J182" s="70">
        <f>IF(OR('Monthly Activity Log'!K113="In Progress",'Monthly Activity Log'!K113="Pending"),'Monthly Activity Log'!L113,"")</f>
        <v/>
      </c>
    </row>
    <row r="183" ht="15.75" customHeight="1" s="65">
      <c r="A183" s="74">
        <f>IF(OR('Monthly Activity Log'!K114="In Progress",'Monthly Activity Log'!K114="Pending"),'Monthly Activity Log'!H114,"")</f>
        <v/>
      </c>
      <c r="B183" s="74">
        <f>IF(OR('Monthly Activity Log'!K114="In Progress",'Monthly Activity Log'!K114="Pending"),'Monthly Activity Log'!C114,"")</f>
        <v/>
      </c>
      <c r="C183" s="74">
        <f>IF(OR('Monthly Activity Log'!K114="In Progress",'Monthly Activity Log'!K114="Pending"),'Monthly Activity Log'!E114,"")</f>
        <v/>
      </c>
      <c r="D183" s="74">
        <f>IF(OR('Monthly Activity Log'!K114="In Progress",'Monthly Activity Log'!K114="Pending"),'Monthly Activity Log'!F114,"")</f>
        <v/>
      </c>
      <c r="E183" s="74">
        <f>IF(OR('Monthly Activity Log'!K114="In Progress",'Monthly Activity Log'!K114="Pending"),'Monthly Activity Log'!G114,"")</f>
        <v/>
      </c>
      <c r="F183" s="74">
        <f>IF(OR('Monthly Activity Log'!K114="In Progress",'Monthly Activity Log'!K114="Pending"),'Monthly Activity Log'!I114,"")</f>
        <v/>
      </c>
      <c r="G183" s="74">
        <f>IF(OR('Monthly Activity Log'!K114="In Progress",'Monthly Activity Log'!K114="Pending"),'Monthly Activity Log'!J114,"")</f>
        <v/>
      </c>
      <c r="H183" s="74">
        <f>IF(OR('Monthly Activity Log'!K114="In Progress",'Monthly Activity Log'!K114="Pending"),'Monthly Activity Log'!K114,"")</f>
        <v/>
      </c>
      <c r="I183" s="74">
        <f>IF(OR('Monthly Activity Log'!K114="In Progress",'Monthly Activity Log'!K114="Pending"),'Monthly Activity Log'!B114,"")</f>
        <v/>
      </c>
      <c r="J183" s="74">
        <f>IF(OR('Monthly Activity Log'!K114="In Progress",'Monthly Activity Log'!K114="Pending"),'Monthly Activity Log'!L114,"")</f>
        <v/>
      </c>
    </row>
    <row r="184" ht="15.75" customHeight="1" s="65">
      <c r="A184" s="70">
        <f>IF(OR('Monthly Activity Log'!K115="In Progress",'Monthly Activity Log'!K115="Pending"),'Monthly Activity Log'!H115,"")</f>
        <v/>
      </c>
      <c r="B184" s="70">
        <f>IF(OR('Monthly Activity Log'!K115="In Progress",'Monthly Activity Log'!K115="Pending"),'Monthly Activity Log'!C115,"")</f>
        <v/>
      </c>
      <c r="C184" s="70">
        <f>IF(OR('Monthly Activity Log'!K115="In Progress",'Monthly Activity Log'!K115="Pending"),'Monthly Activity Log'!E115,"")</f>
        <v/>
      </c>
      <c r="D184" s="70">
        <f>IF(OR('Monthly Activity Log'!K115="In Progress",'Monthly Activity Log'!K115="Pending"),'Monthly Activity Log'!F115,"")</f>
        <v/>
      </c>
      <c r="E184" s="70">
        <f>IF(OR('Monthly Activity Log'!K115="In Progress",'Monthly Activity Log'!K115="Pending"),'Monthly Activity Log'!G115,"")</f>
        <v/>
      </c>
      <c r="F184" s="70">
        <f>IF(OR('Monthly Activity Log'!K115="In Progress",'Monthly Activity Log'!K115="Pending"),'Monthly Activity Log'!I115,"")</f>
        <v/>
      </c>
      <c r="G184" s="70">
        <f>IF(OR('Monthly Activity Log'!K115="In Progress",'Monthly Activity Log'!K115="Pending"),'Monthly Activity Log'!J115,"")</f>
        <v/>
      </c>
      <c r="H184" s="70">
        <f>IF(OR('Monthly Activity Log'!K115="In Progress",'Monthly Activity Log'!K115="Pending"),'Monthly Activity Log'!K115,"")</f>
        <v/>
      </c>
      <c r="I184" s="70">
        <f>IF(OR('Monthly Activity Log'!K115="In Progress",'Monthly Activity Log'!K115="Pending"),'Monthly Activity Log'!B115,"")</f>
        <v/>
      </c>
      <c r="J184" s="70">
        <f>IF(OR('Monthly Activity Log'!K115="In Progress",'Monthly Activity Log'!K115="Pending"),'Monthly Activity Log'!L115,"")</f>
        <v/>
      </c>
    </row>
    <row r="185" ht="15.75" customHeight="1" s="65">
      <c r="A185" s="74">
        <f>IF(OR('Monthly Activity Log'!K116="In Progress",'Monthly Activity Log'!K116="Pending"),'Monthly Activity Log'!H116,"")</f>
        <v/>
      </c>
      <c r="B185" s="74">
        <f>IF(OR('Monthly Activity Log'!K116="In Progress",'Monthly Activity Log'!K116="Pending"),'Monthly Activity Log'!C116,"")</f>
        <v/>
      </c>
      <c r="C185" s="74">
        <f>IF(OR('Monthly Activity Log'!K116="In Progress",'Monthly Activity Log'!K116="Pending"),'Monthly Activity Log'!E116,"")</f>
        <v/>
      </c>
      <c r="D185" s="74">
        <f>IF(OR('Monthly Activity Log'!K116="In Progress",'Monthly Activity Log'!K116="Pending"),'Monthly Activity Log'!F116,"")</f>
        <v/>
      </c>
      <c r="E185" s="74">
        <f>IF(OR('Monthly Activity Log'!K116="In Progress",'Monthly Activity Log'!K116="Pending"),'Monthly Activity Log'!G116,"")</f>
        <v/>
      </c>
      <c r="F185" s="74">
        <f>IF(OR('Monthly Activity Log'!K116="In Progress",'Monthly Activity Log'!K116="Pending"),'Monthly Activity Log'!I116,"")</f>
        <v/>
      </c>
      <c r="G185" s="74">
        <f>IF(OR('Monthly Activity Log'!K116="In Progress",'Monthly Activity Log'!K116="Pending"),'Monthly Activity Log'!J116,"")</f>
        <v/>
      </c>
      <c r="H185" s="74">
        <f>IF(OR('Monthly Activity Log'!K116="In Progress",'Monthly Activity Log'!K116="Pending"),'Monthly Activity Log'!K116,"")</f>
        <v/>
      </c>
      <c r="I185" s="74">
        <f>IF(OR('Monthly Activity Log'!K116="In Progress",'Monthly Activity Log'!K116="Pending"),'Monthly Activity Log'!B116,"")</f>
        <v/>
      </c>
      <c r="J185" s="74">
        <f>IF(OR('Monthly Activity Log'!K116="In Progress",'Monthly Activity Log'!K116="Pending"),'Monthly Activity Log'!L116,"")</f>
        <v/>
      </c>
    </row>
    <row r="186" ht="15.75" customHeight="1" s="65">
      <c r="A186" s="70">
        <f>IF(OR('Monthly Activity Log'!K117="In Progress",'Monthly Activity Log'!K117="Pending"),'Monthly Activity Log'!H117,"")</f>
        <v/>
      </c>
      <c r="B186" s="70">
        <f>IF(OR('Monthly Activity Log'!K117="In Progress",'Monthly Activity Log'!K117="Pending"),'Monthly Activity Log'!C117,"")</f>
        <v/>
      </c>
      <c r="C186" s="70">
        <f>IF(OR('Monthly Activity Log'!K117="In Progress",'Monthly Activity Log'!K117="Pending"),'Monthly Activity Log'!E117,"")</f>
        <v/>
      </c>
      <c r="D186" s="70">
        <f>IF(OR('Monthly Activity Log'!K117="In Progress",'Monthly Activity Log'!K117="Pending"),'Monthly Activity Log'!F117,"")</f>
        <v/>
      </c>
      <c r="E186" s="70">
        <f>IF(OR('Monthly Activity Log'!K117="In Progress",'Monthly Activity Log'!K117="Pending"),'Monthly Activity Log'!G117,"")</f>
        <v/>
      </c>
      <c r="F186" s="70">
        <f>IF(OR('Monthly Activity Log'!K117="In Progress",'Monthly Activity Log'!K117="Pending"),'Monthly Activity Log'!I117,"")</f>
        <v/>
      </c>
      <c r="G186" s="70">
        <f>IF(OR('Monthly Activity Log'!K117="In Progress",'Monthly Activity Log'!K117="Pending"),'Monthly Activity Log'!J117,"")</f>
        <v/>
      </c>
      <c r="H186" s="70">
        <f>IF(OR('Monthly Activity Log'!K117="In Progress",'Monthly Activity Log'!K117="Pending"),'Monthly Activity Log'!K117,"")</f>
        <v/>
      </c>
      <c r="I186" s="70">
        <f>IF(OR('Monthly Activity Log'!K117="In Progress",'Monthly Activity Log'!K117="Pending"),'Monthly Activity Log'!B117,"")</f>
        <v/>
      </c>
      <c r="J186" s="70">
        <f>IF(OR('Monthly Activity Log'!K117="In Progress",'Monthly Activity Log'!K117="Pending"),'Monthly Activity Log'!L117,"")</f>
        <v/>
      </c>
    </row>
    <row r="187" ht="15.75" customHeight="1" s="65">
      <c r="A187" s="74">
        <f>IF(OR('Monthly Activity Log'!K118="In Progress",'Monthly Activity Log'!K118="Pending"),'Monthly Activity Log'!H118,"")</f>
        <v/>
      </c>
      <c r="B187" s="74">
        <f>IF(OR('Monthly Activity Log'!K118="In Progress",'Monthly Activity Log'!K118="Pending"),'Monthly Activity Log'!C118,"")</f>
        <v/>
      </c>
      <c r="C187" s="74">
        <f>IF(OR('Monthly Activity Log'!K118="In Progress",'Monthly Activity Log'!K118="Pending"),'Monthly Activity Log'!E118,"")</f>
        <v/>
      </c>
      <c r="D187" s="74">
        <f>IF(OR('Monthly Activity Log'!K118="In Progress",'Monthly Activity Log'!K118="Pending"),'Monthly Activity Log'!F118,"")</f>
        <v/>
      </c>
      <c r="E187" s="74">
        <f>IF(OR('Monthly Activity Log'!K118="In Progress",'Monthly Activity Log'!K118="Pending"),'Monthly Activity Log'!G118,"")</f>
        <v/>
      </c>
      <c r="F187" s="74">
        <f>IF(OR('Monthly Activity Log'!K118="In Progress",'Monthly Activity Log'!K118="Pending"),'Monthly Activity Log'!I118,"")</f>
        <v/>
      </c>
      <c r="G187" s="74">
        <f>IF(OR('Monthly Activity Log'!K118="In Progress",'Monthly Activity Log'!K118="Pending"),'Monthly Activity Log'!J118,"")</f>
        <v/>
      </c>
      <c r="H187" s="74">
        <f>IF(OR('Monthly Activity Log'!K118="In Progress",'Monthly Activity Log'!K118="Pending"),'Monthly Activity Log'!K118,"")</f>
        <v/>
      </c>
      <c r="I187" s="74">
        <f>IF(OR('Monthly Activity Log'!K118="In Progress",'Monthly Activity Log'!K118="Pending"),'Monthly Activity Log'!B118,"")</f>
        <v/>
      </c>
      <c r="J187" s="74">
        <f>IF(OR('Monthly Activity Log'!K118="In Progress",'Monthly Activity Log'!K118="Pending"),'Monthly Activity Log'!L118,"")</f>
        <v/>
      </c>
    </row>
    <row r="188" ht="15.75" customHeight="1" s="65">
      <c r="A188" s="70">
        <f>IF(OR('Monthly Activity Log'!K119="In Progress",'Monthly Activity Log'!K119="Pending"),'Monthly Activity Log'!H119,"")</f>
        <v/>
      </c>
      <c r="B188" s="70">
        <f>IF(OR('Monthly Activity Log'!K119="In Progress",'Monthly Activity Log'!K119="Pending"),'Monthly Activity Log'!C119,"")</f>
        <v/>
      </c>
      <c r="C188" s="70">
        <f>IF(OR('Monthly Activity Log'!K119="In Progress",'Monthly Activity Log'!K119="Pending"),'Monthly Activity Log'!E119,"")</f>
        <v/>
      </c>
      <c r="D188" s="70">
        <f>IF(OR('Monthly Activity Log'!K119="In Progress",'Monthly Activity Log'!K119="Pending"),'Monthly Activity Log'!F119,"")</f>
        <v/>
      </c>
      <c r="E188" s="70">
        <f>IF(OR('Monthly Activity Log'!K119="In Progress",'Monthly Activity Log'!K119="Pending"),'Monthly Activity Log'!G119,"")</f>
        <v/>
      </c>
      <c r="F188" s="70">
        <f>IF(OR('Monthly Activity Log'!K119="In Progress",'Monthly Activity Log'!K119="Pending"),'Monthly Activity Log'!I119,"")</f>
        <v/>
      </c>
      <c r="G188" s="70">
        <f>IF(OR('Monthly Activity Log'!K119="In Progress",'Monthly Activity Log'!K119="Pending"),'Monthly Activity Log'!J119,"")</f>
        <v/>
      </c>
      <c r="H188" s="70">
        <f>IF(OR('Monthly Activity Log'!K119="In Progress",'Monthly Activity Log'!K119="Pending"),'Monthly Activity Log'!K119,"")</f>
        <v/>
      </c>
      <c r="I188" s="70">
        <f>IF(OR('Monthly Activity Log'!K119="In Progress",'Monthly Activity Log'!K119="Pending"),'Monthly Activity Log'!B119,"")</f>
        <v/>
      </c>
      <c r="J188" s="70">
        <f>IF(OR('Monthly Activity Log'!K119="In Progress",'Monthly Activity Log'!K119="Pending"),'Monthly Activity Log'!L119,"")</f>
        <v/>
      </c>
    </row>
    <row r="189" ht="15.75" customHeight="1" s="65">
      <c r="A189" s="74">
        <f>IF(OR('Monthly Activity Log'!K120="In Progress",'Monthly Activity Log'!K120="Pending"),'Monthly Activity Log'!H120,"")</f>
        <v/>
      </c>
      <c r="B189" s="74">
        <f>IF(OR('Monthly Activity Log'!K120="In Progress",'Monthly Activity Log'!K120="Pending"),'Monthly Activity Log'!C120,"")</f>
        <v/>
      </c>
      <c r="C189" s="74">
        <f>IF(OR('Monthly Activity Log'!K120="In Progress",'Monthly Activity Log'!K120="Pending"),'Monthly Activity Log'!E120,"")</f>
        <v/>
      </c>
      <c r="D189" s="74">
        <f>IF(OR('Monthly Activity Log'!K120="In Progress",'Monthly Activity Log'!K120="Pending"),'Monthly Activity Log'!F120,"")</f>
        <v/>
      </c>
      <c r="E189" s="74">
        <f>IF(OR('Monthly Activity Log'!K120="In Progress",'Monthly Activity Log'!K120="Pending"),'Monthly Activity Log'!G120,"")</f>
        <v/>
      </c>
      <c r="F189" s="74">
        <f>IF(OR('Monthly Activity Log'!K120="In Progress",'Monthly Activity Log'!K120="Pending"),'Monthly Activity Log'!I120,"")</f>
        <v/>
      </c>
      <c r="G189" s="74">
        <f>IF(OR('Monthly Activity Log'!K120="In Progress",'Monthly Activity Log'!K120="Pending"),'Monthly Activity Log'!J120,"")</f>
        <v/>
      </c>
      <c r="H189" s="74">
        <f>IF(OR('Monthly Activity Log'!K120="In Progress",'Monthly Activity Log'!K120="Pending"),'Monthly Activity Log'!K120,"")</f>
        <v/>
      </c>
      <c r="I189" s="74">
        <f>IF(OR('Monthly Activity Log'!K120="In Progress",'Monthly Activity Log'!K120="Pending"),'Monthly Activity Log'!B120,"")</f>
        <v/>
      </c>
      <c r="J189" s="74">
        <f>IF(OR('Monthly Activity Log'!K120="In Progress",'Monthly Activity Log'!K120="Pending"),'Monthly Activity Log'!L120,"")</f>
        <v/>
      </c>
    </row>
    <row r="190" ht="15.75" customHeight="1" s="65">
      <c r="A190" s="70">
        <f>IF(OR('Monthly Activity Log'!K121="In Progress",'Monthly Activity Log'!K121="Pending"),'Monthly Activity Log'!H121,"")</f>
        <v/>
      </c>
      <c r="B190" s="70">
        <f>IF(OR('Monthly Activity Log'!K121="In Progress",'Monthly Activity Log'!K121="Pending"),'Monthly Activity Log'!C121,"")</f>
        <v/>
      </c>
      <c r="C190" s="70">
        <f>IF(OR('Monthly Activity Log'!K121="In Progress",'Monthly Activity Log'!K121="Pending"),'Monthly Activity Log'!E121,"")</f>
        <v/>
      </c>
      <c r="D190" s="70">
        <f>IF(OR('Monthly Activity Log'!K121="In Progress",'Monthly Activity Log'!K121="Pending"),'Monthly Activity Log'!F121,"")</f>
        <v/>
      </c>
      <c r="E190" s="70">
        <f>IF(OR('Monthly Activity Log'!K121="In Progress",'Monthly Activity Log'!K121="Pending"),'Monthly Activity Log'!G121,"")</f>
        <v/>
      </c>
      <c r="F190" s="70">
        <f>IF(OR('Monthly Activity Log'!K121="In Progress",'Monthly Activity Log'!K121="Pending"),'Monthly Activity Log'!I121,"")</f>
        <v/>
      </c>
      <c r="G190" s="70">
        <f>IF(OR('Monthly Activity Log'!K121="In Progress",'Monthly Activity Log'!K121="Pending"),'Monthly Activity Log'!J121,"")</f>
        <v/>
      </c>
      <c r="H190" s="70">
        <f>IF(OR('Monthly Activity Log'!K121="In Progress",'Monthly Activity Log'!K121="Pending"),'Monthly Activity Log'!K121,"")</f>
        <v/>
      </c>
      <c r="I190" s="70">
        <f>IF(OR('Monthly Activity Log'!K121="In Progress",'Monthly Activity Log'!K121="Pending"),'Monthly Activity Log'!B121,"")</f>
        <v/>
      </c>
      <c r="J190" s="70">
        <f>IF(OR('Monthly Activity Log'!K121="In Progress",'Monthly Activity Log'!K121="Pending"),'Monthly Activity Log'!L121,"")</f>
        <v/>
      </c>
    </row>
    <row r="191" ht="15.75" customHeight="1" s="65">
      <c r="A191" s="74">
        <f>IF(OR('Monthly Activity Log'!K122="In Progress",'Monthly Activity Log'!K122="Pending"),'Monthly Activity Log'!H122,"")</f>
        <v/>
      </c>
      <c r="B191" s="74">
        <f>IF(OR('Monthly Activity Log'!K122="In Progress",'Monthly Activity Log'!K122="Pending"),'Monthly Activity Log'!C122,"")</f>
        <v/>
      </c>
      <c r="C191" s="74">
        <f>IF(OR('Monthly Activity Log'!K122="In Progress",'Monthly Activity Log'!K122="Pending"),'Monthly Activity Log'!E122,"")</f>
        <v/>
      </c>
      <c r="D191" s="74">
        <f>IF(OR('Monthly Activity Log'!K122="In Progress",'Monthly Activity Log'!K122="Pending"),'Monthly Activity Log'!F122,"")</f>
        <v/>
      </c>
      <c r="E191" s="74">
        <f>IF(OR('Monthly Activity Log'!K122="In Progress",'Monthly Activity Log'!K122="Pending"),'Monthly Activity Log'!G122,"")</f>
        <v/>
      </c>
      <c r="F191" s="74">
        <f>IF(OR('Monthly Activity Log'!K122="In Progress",'Monthly Activity Log'!K122="Pending"),'Monthly Activity Log'!I122,"")</f>
        <v/>
      </c>
      <c r="G191" s="74">
        <f>IF(OR('Monthly Activity Log'!K122="In Progress",'Monthly Activity Log'!K122="Pending"),'Monthly Activity Log'!J122,"")</f>
        <v/>
      </c>
      <c r="H191" s="74">
        <f>IF(OR('Monthly Activity Log'!K122="In Progress",'Monthly Activity Log'!K122="Pending"),'Monthly Activity Log'!K122,"")</f>
        <v/>
      </c>
      <c r="I191" s="74">
        <f>IF(OR('Monthly Activity Log'!K122="In Progress",'Monthly Activity Log'!K122="Pending"),'Monthly Activity Log'!B122,"")</f>
        <v/>
      </c>
      <c r="J191" s="74">
        <f>IF(OR('Monthly Activity Log'!K122="In Progress",'Monthly Activity Log'!K122="Pending"),'Monthly Activity Log'!L122,"")</f>
        <v/>
      </c>
    </row>
    <row r="192" ht="15.75" customHeight="1" s="65">
      <c r="A192" s="70">
        <f>IF(OR('Monthly Activity Log'!K123="In Progress",'Monthly Activity Log'!K123="Pending"),'Monthly Activity Log'!H123,"")</f>
        <v/>
      </c>
      <c r="B192" s="70">
        <f>IF(OR('Monthly Activity Log'!K123="In Progress",'Monthly Activity Log'!K123="Pending"),'Monthly Activity Log'!C123,"")</f>
        <v/>
      </c>
      <c r="C192" s="70">
        <f>IF(OR('Monthly Activity Log'!K123="In Progress",'Monthly Activity Log'!K123="Pending"),'Monthly Activity Log'!E123,"")</f>
        <v/>
      </c>
      <c r="D192" s="70">
        <f>IF(OR('Monthly Activity Log'!K123="In Progress",'Monthly Activity Log'!K123="Pending"),'Monthly Activity Log'!F123,"")</f>
        <v/>
      </c>
      <c r="E192" s="70">
        <f>IF(OR('Monthly Activity Log'!K123="In Progress",'Monthly Activity Log'!K123="Pending"),'Monthly Activity Log'!G123,"")</f>
        <v/>
      </c>
      <c r="F192" s="70">
        <f>IF(OR('Monthly Activity Log'!K123="In Progress",'Monthly Activity Log'!K123="Pending"),'Monthly Activity Log'!I123,"")</f>
        <v/>
      </c>
      <c r="G192" s="70">
        <f>IF(OR('Monthly Activity Log'!K123="In Progress",'Monthly Activity Log'!K123="Pending"),'Monthly Activity Log'!J123,"")</f>
        <v/>
      </c>
      <c r="H192" s="70">
        <f>IF(OR('Monthly Activity Log'!K123="In Progress",'Monthly Activity Log'!K123="Pending"),'Monthly Activity Log'!K123,"")</f>
        <v/>
      </c>
      <c r="I192" s="70">
        <f>IF(OR('Monthly Activity Log'!K123="In Progress",'Monthly Activity Log'!K123="Pending"),'Monthly Activity Log'!B123,"")</f>
        <v/>
      </c>
      <c r="J192" s="70">
        <f>IF(OR('Monthly Activity Log'!K123="In Progress",'Monthly Activity Log'!K123="Pending"),'Monthly Activity Log'!L123,"")</f>
        <v/>
      </c>
    </row>
    <row r="193" ht="15.75" customHeight="1" s="65">
      <c r="A193" s="74">
        <f>IF(OR('Monthly Activity Log'!K124="In Progress",'Monthly Activity Log'!K124="Pending"),'Monthly Activity Log'!H124,"")</f>
        <v/>
      </c>
      <c r="B193" s="74">
        <f>IF(OR('Monthly Activity Log'!K124="In Progress",'Monthly Activity Log'!K124="Pending"),'Monthly Activity Log'!C124,"")</f>
        <v/>
      </c>
      <c r="C193" s="74">
        <f>IF(OR('Monthly Activity Log'!K124="In Progress",'Monthly Activity Log'!K124="Pending"),'Monthly Activity Log'!E124,"")</f>
        <v/>
      </c>
      <c r="D193" s="74">
        <f>IF(OR('Monthly Activity Log'!K124="In Progress",'Monthly Activity Log'!K124="Pending"),'Monthly Activity Log'!F124,"")</f>
        <v/>
      </c>
      <c r="E193" s="74">
        <f>IF(OR('Monthly Activity Log'!K124="In Progress",'Monthly Activity Log'!K124="Pending"),'Monthly Activity Log'!G124,"")</f>
        <v/>
      </c>
      <c r="F193" s="74">
        <f>IF(OR('Monthly Activity Log'!K124="In Progress",'Monthly Activity Log'!K124="Pending"),'Monthly Activity Log'!I124,"")</f>
        <v/>
      </c>
      <c r="G193" s="74">
        <f>IF(OR('Monthly Activity Log'!K124="In Progress",'Monthly Activity Log'!K124="Pending"),'Monthly Activity Log'!J124,"")</f>
        <v/>
      </c>
      <c r="H193" s="74">
        <f>IF(OR('Monthly Activity Log'!K124="In Progress",'Monthly Activity Log'!K124="Pending"),'Monthly Activity Log'!K124,"")</f>
        <v/>
      </c>
      <c r="I193" s="74">
        <f>IF(OR('Monthly Activity Log'!K124="In Progress",'Monthly Activity Log'!K124="Pending"),'Monthly Activity Log'!B124,"")</f>
        <v/>
      </c>
      <c r="J193" s="74">
        <f>IF(OR('Monthly Activity Log'!K124="In Progress",'Monthly Activity Log'!K124="Pending"),'Monthly Activity Log'!L124,"")</f>
        <v/>
      </c>
    </row>
    <row r="194" ht="15.75" customHeight="1" s="65">
      <c r="A194" s="70">
        <f>IF(OR('Monthly Activity Log'!K125="In Progress",'Monthly Activity Log'!K125="Pending"),'Monthly Activity Log'!H125,"")</f>
        <v/>
      </c>
      <c r="B194" s="70">
        <f>IF(OR('Monthly Activity Log'!K125="In Progress",'Monthly Activity Log'!K125="Pending"),'Monthly Activity Log'!C125,"")</f>
        <v/>
      </c>
      <c r="C194" s="70">
        <f>IF(OR('Monthly Activity Log'!K125="In Progress",'Monthly Activity Log'!K125="Pending"),'Monthly Activity Log'!E125,"")</f>
        <v/>
      </c>
      <c r="D194" s="70">
        <f>IF(OR('Monthly Activity Log'!K125="In Progress",'Monthly Activity Log'!K125="Pending"),'Monthly Activity Log'!F125,"")</f>
        <v/>
      </c>
      <c r="E194" s="70">
        <f>IF(OR('Monthly Activity Log'!K125="In Progress",'Monthly Activity Log'!K125="Pending"),'Monthly Activity Log'!G125,"")</f>
        <v/>
      </c>
      <c r="F194" s="70">
        <f>IF(OR('Monthly Activity Log'!K125="In Progress",'Monthly Activity Log'!K125="Pending"),'Monthly Activity Log'!I125,"")</f>
        <v/>
      </c>
      <c r="G194" s="70">
        <f>IF(OR('Monthly Activity Log'!K125="In Progress",'Monthly Activity Log'!K125="Pending"),'Monthly Activity Log'!J125,"")</f>
        <v/>
      </c>
      <c r="H194" s="70">
        <f>IF(OR('Monthly Activity Log'!K125="In Progress",'Monthly Activity Log'!K125="Pending"),'Monthly Activity Log'!K125,"")</f>
        <v/>
      </c>
      <c r="I194" s="70">
        <f>IF(OR('Monthly Activity Log'!K125="In Progress",'Monthly Activity Log'!K125="Pending"),'Monthly Activity Log'!B125,"")</f>
        <v/>
      </c>
      <c r="J194" s="70">
        <f>IF(OR('Monthly Activity Log'!K125="In Progress",'Monthly Activity Log'!K125="Pending"),'Monthly Activity Log'!L125,"")</f>
        <v/>
      </c>
    </row>
    <row r="195" ht="15.75" customHeight="1" s="65">
      <c r="A195" s="74">
        <f>IF(OR('Monthly Activity Log'!K126="In Progress",'Monthly Activity Log'!K126="Pending"),'Monthly Activity Log'!H126,"")</f>
        <v/>
      </c>
      <c r="B195" s="74">
        <f>IF(OR('Monthly Activity Log'!K126="In Progress",'Monthly Activity Log'!K126="Pending"),'Monthly Activity Log'!C126,"")</f>
        <v/>
      </c>
      <c r="C195" s="74">
        <f>IF(OR('Monthly Activity Log'!K126="In Progress",'Monthly Activity Log'!K126="Pending"),'Monthly Activity Log'!E126,"")</f>
        <v/>
      </c>
      <c r="D195" s="74">
        <f>IF(OR('Monthly Activity Log'!K126="In Progress",'Monthly Activity Log'!K126="Pending"),'Monthly Activity Log'!F126,"")</f>
        <v/>
      </c>
      <c r="E195" s="74">
        <f>IF(OR('Monthly Activity Log'!K126="In Progress",'Monthly Activity Log'!K126="Pending"),'Monthly Activity Log'!G126,"")</f>
        <v/>
      </c>
      <c r="F195" s="74">
        <f>IF(OR('Monthly Activity Log'!K126="In Progress",'Monthly Activity Log'!K126="Pending"),'Monthly Activity Log'!I126,"")</f>
        <v/>
      </c>
      <c r="G195" s="74">
        <f>IF(OR('Monthly Activity Log'!K126="In Progress",'Monthly Activity Log'!K126="Pending"),'Monthly Activity Log'!J126,"")</f>
        <v/>
      </c>
      <c r="H195" s="74">
        <f>IF(OR('Monthly Activity Log'!K126="In Progress",'Monthly Activity Log'!K126="Pending"),'Monthly Activity Log'!K126,"")</f>
        <v/>
      </c>
      <c r="I195" s="74">
        <f>IF(OR('Monthly Activity Log'!K126="In Progress",'Monthly Activity Log'!K126="Pending"),'Monthly Activity Log'!B126,"")</f>
        <v/>
      </c>
      <c r="J195" s="74">
        <f>IF(OR('Monthly Activity Log'!K126="In Progress",'Monthly Activity Log'!K126="Pending"),'Monthly Activity Log'!L126,"")</f>
        <v/>
      </c>
    </row>
    <row r="196" ht="15.75" customHeight="1" s="65">
      <c r="A196" s="70">
        <f>IF(OR('Monthly Activity Log'!K127="In Progress",'Monthly Activity Log'!K127="Pending"),'Monthly Activity Log'!H127,"")</f>
        <v/>
      </c>
      <c r="B196" s="70">
        <f>IF(OR('Monthly Activity Log'!K127="In Progress",'Monthly Activity Log'!K127="Pending"),'Monthly Activity Log'!C127,"")</f>
        <v/>
      </c>
      <c r="C196" s="70">
        <f>IF(OR('Monthly Activity Log'!K127="In Progress",'Monthly Activity Log'!K127="Pending"),'Monthly Activity Log'!E127,"")</f>
        <v/>
      </c>
      <c r="D196" s="70">
        <f>IF(OR('Monthly Activity Log'!K127="In Progress",'Monthly Activity Log'!K127="Pending"),'Monthly Activity Log'!F127,"")</f>
        <v/>
      </c>
      <c r="E196" s="70">
        <f>IF(OR('Monthly Activity Log'!K127="In Progress",'Monthly Activity Log'!K127="Pending"),'Monthly Activity Log'!G127,"")</f>
        <v/>
      </c>
      <c r="F196" s="70">
        <f>IF(OR('Monthly Activity Log'!K127="In Progress",'Monthly Activity Log'!K127="Pending"),'Monthly Activity Log'!I127,"")</f>
        <v/>
      </c>
      <c r="G196" s="70">
        <f>IF(OR('Monthly Activity Log'!K127="In Progress",'Monthly Activity Log'!K127="Pending"),'Monthly Activity Log'!J127,"")</f>
        <v/>
      </c>
      <c r="H196" s="70">
        <f>IF(OR('Monthly Activity Log'!K127="In Progress",'Monthly Activity Log'!K127="Pending"),'Monthly Activity Log'!K127,"")</f>
        <v/>
      </c>
      <c r="I196" s="70">
        <f>IF(OR('Monthly Activity Log'!K127="In Progress",'Monthly Activity Log'!K127="Pending"),'Monthly Activity Log'!B127,"")</f>
        <v/>
      </c>
      <c r="J196" s="70">
        <f>IF(OR('Monthly Activity Log'!K127="In Progress",'Monthly Activity Log'!K127="Pending"),'Monthly Activity Log'!L127,"")</f>
        <v/>
      </c>
    </row>
    <row r="197" ht="15.75" customHeight="1" s="65">
      <c r="A197" s="74">
        <f>IF(OR('Monthly Activity Log'!K128="In Progress",'Monthly Activity Log'!K128="Pending"),'Monthly Activity Log'!H128,"")</f>
        <v/>
      </c>
      <c r="B197" s="74">
        <f>IF(OR('Monthly Activity Log'!K128="In Progress",'Monthly Activity Log'!K128="Pending"),'Monthly Activity Log'!C128,"")</f>
        <v/>
      </c>
      <c r="C197" s="74">
        <f>IF(OR('Monthly Activity Log'!K128="In Progress",'Monthly Activity Log'!K128="Pending"),'Monthly Activity Log'!E128,"")</f>
        <v/>
      </c>
      <c r="D197" s="74">
        <f>IF(OR('Monthly Activity Log'!K128="In Progress",'Monthly Activity Log'!K128="Pending"),'Monthly Activity Log'!F128,"")</f>
        <v/>
      </c>
      <c r="E197" s="74">
        <f>IF(OR('Monthly Activity Log'!K128="In Progress",'Monthly Activity Log'!K128="Pending"),'Monthly Activity Log'!G128,"")</f>
        <v/>
      </c>
      <c r="F197" s="74">
        <f>IF(OR('Monthly Activity Log'!K128="In Progress",'Monthly Activity Log'!K128="Pending"),'Monthly Activity Log'!I128,"")</f>
        <v/>
      </c>
      <c r="G197" s="74">
        <f>IF(OR('Monthly Activity Log'!K128="In Progress",'Monthly Activity Log'!K128="Pending"),'Monthly Activity Log'!J128,"")</f>
        <v/>
      </c>
      <c r="H197" s="74">
        <f>IF(OR('Monthly Activity Log'!K128="In Progress",'Monthly Activity Log'!K128="Pending"),'Monthly Activity Log'!K128,"")</f>
        <v/>
      </c>
      <c r="I197" s="74">
        <f>IF(OR('Monthly Activity Log'!K128="In Progress",'Monthly Activity Log'!K128="Pending"),'Monthly Activity Log'!B128,"")</f>
        <v/>
      </c>
      <c r="J197" s="74">
        <f>IF(OR('Monthly Activity Log'!K128="In Progress",'Monthly Activity Log'!K128="Pending"),'Monthly Activity Log'!L128,"")</f>
        <v/>
      </c>
    </row>
    <row r="198" ht="15.75" customHeight="1" s="65">
      <c r="A198" s="70">
        <f>IF(OR('Monthly Activity Log'!K129="In Progress",'Monthly Activity Log'!K129="Pending"),'Monthly Activity Log'!H129,"")</f>
        <v/>
      </c>
      <c r="B198" s="70">
        <f>IF(OR('Monthly Activity Log'!K129="In Progress",'Monthly Activity Log'!K129="Pending"),'Monthly Activity Log'!C129,"")</f>
        <v/>
      </c>
      <c r="C198" s="70">
        <f>IF(OR('Monthly Activity Log'!K129="In Progress",'Monthly Activity Log'!K129="Pending"),'Monthly Activity Log'!E129,"")</f>
        <v/>
      </c>
      <c r="D198" s="70">
        <f>IF(OR('Monthly Activity Log'!K129="In Progress",'Monthly Activity Log'!K129="Pending"),'Monthly Activity Log'!F129,"")</f>
        <v/>
      </c>
      <c r="E198" s="70">
        <f>IF(OR('Monthly Activity Log'!K129="In Progress",'Monthly Activity Log'!K129="Pending"),'Monthly Activity Log'!G129,"")</f>
        <v/>
      </c>
      <c r="F198" s="70">
        <f>IF(OR('Monthly Activity Log'!K129="In Progress",'Monthly Activity Log'!K129="Pending"),'Monthly Activity Log'!I129,"")</f>
        <v/>
      </c>
      <c r="G198" s="70">
        <f>IF(OR('Monthly Activity Log'!K129="In Progress",'Monthly Activity Log'!K129="Pending"),'Monthly Activity Log'!J129,"")</f>
        <v/>
      </c>
      <c r="H198" s="70">
        <f>IF(OR('Monthly Activity Log'!K129="In Progress",'Monthly Activity Log'!K129="Pending"),'Monthly Activity Log'!K129,"")</f>
        <v/>
      </c>
      <c r="I198" s="70">
        <f>IF(OR('Monthly Activity Log'!K129="In Progress",'Monthly Activity Log'!K129="Pending"),'Monthly Activity Log'!B129,"")</f>
        <v/>
      </c>
      <c r="J198" s="70">
        <f>IF(OR('Monthly Activity Log'!K129="In Progress",'Monthly Activity Log'!K129="Pending"),'Monthly Activity Log'!L129,"")</f>
        <v/>
      </c>
    </row>
    <row r="199" ht="15.75" customHeight="1" s="65">
      <c r="A199" s="74">
        <f>IF(OR('Monthly Activity Log'!K130="In Progress",'Monthly Activity Log'!K130="Pending"),'Monthly Activity Log'!H130,"")</f>
        <v/>
      </c>
      <c r="B199" s="74">
        <f>IF(OR('Monthly Activity Log'!K130="In Progress",'Monthly Activity Log'!K130="Pending"),'Monthly Activity Log'!C130,"")</f>
        <v/>
      </c>
      <c r="C199" s="74">
        <f>IF(OR('Monthly Activity Log'!K130="In Progress",'Monthly Activity Log'!K130="Pending"),'Monthly Activity Log'!E130,"")</f>
        <v/>
      </c>
      <c r="D199" s="74">
        <f>IF(OR('Monthly Activity Log'!K130="In Progress",'Monthly Activity Log'!K130="Pending"),'Monthly Activity Log'!F130,"")</f>
        <v/>
      </c>
      <c r="E199" s="74">
        <f>IF(OR('Monthly Activity Log'!K130="In Progress",'Monthly Activity Log'!K130="Pending"),'Monthly Activity Log'!G130,"")</f>
        <v/>
      </c>
      <c r="F199" s="74">
        <f>IF(OR('Monthly Activity Log'!K130="In Progress",'Monthly Activity Log'!K130="Pending"),'Monthly Activity Log'!I130,"")</f>
        <v/>
      </c>
      <c r="G199" s="74">
        <f>IF(OR('Monthly Activity Log'!K130="In Progress",'Monthly Activity Log'!K130="Pending"),'Monthly Activity Log'!J130,"")</f>
        <v/>
      </c>
      <c r="H199" s="74">
        <f>IF(OR('Monthly Activity Log'!K130="In Progress",'Monthly Activity Log'!K130="Pending"),'Monthly Activity Log'!K130,"")</f>
        <v/>
      </c>
      <c r="I199" s="74">
        <f>IF(OR('Monthly Activity Log'!K130="In Progress",'Monthly Activity Log'!K130="Pending"),'Monthly Activity Log'!B130,"")</f>
        <v/>
      </c>
      <c r="J199" s="74">
        <f>IF(OR('Monthly Activity Log'!K130="In Progress",'Monthly Activity Log'!K130="Pending"),'Monthly Activity Log'!L130,"")</f>
        <v/>
      </c>
    </row>
    <row r="200" ht="15.75" customHeight="1" s="65">
      <c r="A200" s="70">
        <f>IF(OR('Monthly Activity Log'!K131="In Progress",'Monthly Activity Log'!K131="Pending"),'Monthly Activity Log'!H131,"")</f>
        <v/>
      </c>
      <c r="B200" s="70">
        <f>IF(OR('Monthly Activity Log'!K131="In Progress",'Monthly Activity Log'!K131="Pending"),'Monthly Activity Log'!C131,"")</f>
        <v/>
      </c>
      <c r="C200" s="70">
        <f>IF(OR('Monthly Activity Log'!K131="In Progress",'Monthly Activity Log'!K131="Pending"),'Monthly Activity Log'!E131,"")</f>
        <v/>
      </c>
      <c r="D200" s="70">
        <f>IF(OR('Monthly Activity Log'!K131="In Progress",'Monthly Activity Log'!K131="Pending"),'Monthly Activity Log'!F131,"")</f>
        <v/>
      </c>
      <c r="E200" s="70">
        <f>IF(OR('Monthly Activity Log'!K131="In Progress",'Monthly Activity Log'!K131="Pending"),'Monthly Activity Log'!G131,"")</f>
        <v/>
      </c>
      <c r="F200" s="70">
        <f>IF(OR('Monthly Activity Log'!K131="In Progress",'Monthly Activity Log'!K131="Pending"),'Monthly Activity Log'!I131,"")</f>
        <v/>
      </c>
      <c r="G200" s="70">
        <f>IF(OR('Monthly Activity Log'!K131="In Progress",'Monthly Activity Log'!K131="Pending"),'Monthly Activity Log'!J131,"")</f>
        <v/>
      </c>
      <c r="H200" s="70">
        <f>IF(OR('Monthly Activity Log'!K131="In Progress",'Monthly Activity Log'!K131="Pending"),'Monthly Activity Log'!K131,"")</f>
        <v/>
      </c>
      <c r="I200" s="70">
        <f>IF(OR('Monthly Activity Log'!K131="In Progress",'Monthly Activity Log'!K131="Pending"),'Monthly Activity Log'!B131,"")</f>
        <v/>
      </c>
      <c r="J200" s="70">
        <f>IF(OR('Monthly Activity Log'!K131="In Progress",'Monthly Activity Log'!K131="Pending"),'Monthly Activity Log'!L131,"")</f>
        <v/>
      </c>
    </row>
    <row r="201" ht="15.75" customHeight="1" s="65">
      <c r="A201" s="74">
        <f>IF(OR('Monthly Activity Log'!K132="In Progress",'Monthly Activity Log'!K132="Pending"),'Monthly Activity Log'!H132,"")</f>
        <v/>
      </c>
      <c r="B201" s="74">
        <f>IF(OR('Monthly Activity Log'!K132="In Progress",'Monthly Activity Log'!K132="Pending"),'Monthly Activity Log'!C132,"")</f>
        <v/>
      </c>
      <c r="C201" s="74">
        <f>IF(OR('Monthly Activity Log'!K132="In Progress",'Monthly Activity Log'!K132="Pending"),'Monthly Activity Log'!E132,"")</f>
        <v/>
      </c>
      <c r="D201" s="74">
        <f>IF(OR('Monthly Activity Log'!K132="In Progress",'Monthly Activity Log'!K132="Pending"),'Monthly Activity Log'!F132,"")</f>
        <v/>
      </c>
      <c r="E201" s="74">
        <f>IF(OR('Monthly Activity Log'!K132="In Progress",'Monthly Activity Log'!K132="Pending"),'Monthly Activity Log'!G132,"")</f>
        <v/>
      </c>
      <c r="F201" s="74">
        <f>IF(OR('Monthly Activity Log'!K132="In Progress",'Monthly Activity Log'!K132="Pending"),'Monthly Activity Log'!I132,"")</f>
        <v/>
      </c>
      <c r="G201" s="74">
        <f>IF(OR('Monthly Activity Log'!K132="In Progress",'Monthly Activity Log'!K132="Pending"),'Monthly Activity Log'!J132,"")</f>
        <v/>
      </c>
      <c r="H201" s="74">
        <f>IF(OR('Monthly Activity Log'!K132="In Progress",'Monthly Activity Log'!K132="Pending"),'Monthly Activity Log'!K132,"")</f>
        <v/>
      </c>
      <c r="I201" s="74">
        <f>IF(OR('Monthly Activity Log'!K132="In Progress",'Monthly Activity Log'!K132="Pending"),'Monthly Activity Log'!B132,"")</f>
        <v/>
      </c>
      <c r="J201" s="74">
        <f>IF(OR('Monthly Activity Log'!K132="In Progress",'Monthly Activity Log'!K132="Pending"),'Monthly Activity Log'!L132,"")</f>
        <v/>
      </c>
    </row>
    <row r="202" ht="15.75" customHeight="1" s="65">
      <c r="A202" s="70">
        <f>IF(OR('Monthly Activity Log'!K133="In Progress",'Monthly Activity Log'!K133="Pending"),'Monthly Activity Log'!H133,"")</f>
        <v/>
      </c>
      <c r="B202" s="70">
        <f>IF(OR('Monthly Activity Log'!K133="In Progress",'Monthly Activity Log'!K133="Pending"),'Monthly Activity Log'!C133,"")</f>
        <v/>
      </c>
      <c r="C202" s="70">
        <f>IF(OR('Monthly Activity Log'!K133="In Progress",'Monthly Activity Log'!K133="Pending"),'Monthly Activity Log'!E133,"")</f>
        <v/>
      </c>
      <c r="D202" s="70">
        <f>IF(OR('Monthly Activity Log'!K133="In Progress",'Monthly Activity Log'!K133="Pending"),'Monthly Activity Log'!F133,"")</f>
        <v/>
      </c>
      <c r="E202" s="70">
        <f>IF(OR('Monthly Activity Log'!K133="In Progress",'Monthly Activity Log'!K133="Pending"),'Monthly Activity Log'!G133,"")</f>
        <v/>
      </c>
      <c r="F202" s="70">
        <f>IF(OR('Monthly Activity Log'!K133="In Progress",'Monthly Activity Log'!K133="Pending"),'Monthly Activity Log'!I133,"")</f>
        <v/>
      </c>
      <c r="G202" s="70">
        <f>IF(OR('Monthly Activity Log'!K133="In Progress",'Monthly Activity Log'!K133="Pending"),'Monthly Activity Log'!J133,"")</f>
        <v/>
      </c>
      <c r="H202" s="70">
        <f>IF(OR('Monthly Activity Log'!K133="In Progress",'Monthly Activity Log'!K133="Pending"),'Monthly Activity Log'!K133,"")</f>
        <v/>
      </c>
      <c r="I202" s="70">
        <f>IF(OR('Monthly Activity Log'!K133="In Progress",'Monthly Activity Log'!K133="Pending"),'Monthly Activity Log'!B133,"")</f>
        <v/>
      </c>
      <c r="J202" s="70">
        <f>IF(OR('Monthly Activity Log'!K133="In Progress",'Monthly Activity Log'!K133="Pending"),'Monthly Activity Log'!L133,"")</f>
        <v/>
      </c>
    </row>
    <row r="203" ht="15.75" customHeight="1" s="65">
      <c r="A203" s="74">
        <f>IF(OR('Monthly Activity Log'!K134="In Progress",'Monthly Activity Log'!K134="Pending"),'Monthly Activity Log'!H134,"")</f>
        <v/>
      </c>
      <c r="B203" s="74">
        <f>IF(OR('Monthly Activity Log'!K134="In Progress",'Monthly Activity Log'!K134="Pending"),'Monthly Activity Log'!C134,"")</f>
        <v/>
      </c>
      <c r="C203" s="74">
        <f>IF(OR('Monthly Activity Log'!K134="In Progress",'Monthly Activity Log'!K134="Pending"),'Monthly Activity Log'!E134,"")</f>
        <v/>
      </c>
      <c r="D203" s="74">
        <f>IF(OR('Monthly Activity Log'!K134="In Progress",'Monthly Activity Log'!K134="Pending"),'Monthly Activity Log'!F134,"")</f>
        <v/>
      </c>
      <c r="E203" s="74">
        <f>IF(OR('Monthly Activity Log'!K134="In Progress",'Monthly Activity Log'!K134="Pending"),'Monthly Activity Log'!G134,"")</f>
        <v/>
      </c>
      <c r="F203" s="74">
        <f>IF(OR('Monthly Activity Log'!K134="In Progress",'Monthly Activity Log'!K134="Pending"),'Monthly Activity Log'!I134,"")</f>
        <v/>
      </c>
      <c r="G203" s="74">
        <f>IF(OR('Monthly Activity Log'!K134="In Progress",'Monthly Activity Log'!K134="Pending"),'Monthly Activity Log'!J134,"")</f>
        <v/>
      </c>
      <c r="H203" s="74">
        <f>IF(OR('Monthly Activity Log'!K134="In Progress",'Monthly Activity Log'!K134="Pending"),'Monthly Activity Log'!K134,"")</f>
        <v/>
      </c>
      <c r="I203" s="74">
        <f>IF(OR('Monthly Activity Log'!K134="In Progress",'Monthly Activity Log'!K134="Pending"),'Monthly Activity Log'!B134,"")</f>
        <v/>
      </c>
      <c r="J203" s="74">
        <f>IF(OR('Monthly Activity Log'!K134="In Progress",'Monthly Activity Log'!K134="Pending"),'Monthly Activity Log'!L134,"")</f>
        <v/>
      </c>
    </row>
    <row r="204" ht="15.75" customHeight="1" s="65">
      <c r="A204" s="70">
        <f>IF(OR('Monthly Activity Log'!K135="In Progress",'Monthly Activity Log'!K135="Pending"),'Monthly Activity Log'!H135,"")</f>
        <v/>
      </c>
      <c r="B204" s="70">
        <f>IF(OR('Monthly Activity Log'!K135="In Progress",'Monthly Activity Log'!K135="Pending"),'Monthly Activity Log'!C135,"")</f>
        <v/>
      </c>
      <c r="C204" s="70">
        <f>IF(OR('Monthly Activity Log'!K135="In Progress",'Monthly Activity Log'!K135="Pending"),'Monthly Activity Log'!E135,"")</f>
        <v/>
      </c>
      <c r="D204" s="70">
        <f>IF(OR('Monthly Activity Log'!K135="In Progress",'Monthly Activity Log'!K135="Pending"),'Monthly Activity Log'!F135,"")</f>
        <v/>
      </c>
      <c r="E204" s="70">
        <f>IF(OR('Monthly Activity Log'!K135="In Progress",'Monthly Activity Log'!K135="Pending"),'Monthly Activity Log'!G135,"")</f>
        <v/>
      </c>
      <c r="F204" s="70">
        <f>IF(OR('Monthly Activity Log'!K135="In Progress",'Monthly Activity Log'!K135="Pending"),'Monthly Activity Log'!I135,"")</f>
        <v/>
      </c>
      <c r="G204" s="70">
        <f>IF(OR('Monthly Activity Log'!K135="In Progress",'Monthly Activity Log'!K135="Pending"),'Monthly Activity Log'!J135,"")</f>
        <v/>
      </c>
      <c r="H204" s="70">
        <f>IF(OR('Monthly Activity Log'!K135="In Progress",'Monthly Activity Log'!K135="Pending"),'Monthly Activity Log'!K135,"")</f>
        <v/>
      </c>
      <c r="I204" s="70">
        <f>IF(OR('Monthly Activity Log'!K135="In Progress",'Monthly Activity Log'!K135="Pending"),'Monthly Activity Log'!B135,"")</f>
        <v/>
      </c>
      <c r="J204" s="70">
        <f>IF(OR('Monthly Activity Log'!K135="In Progress",'Monthly Activity Log'!K135="Pending"),'Monthly Activity Log'!L135,"")</f>
        <v/>
      </c>
    </row>
    <row r="205" ht="15.75" customHeight="1" s="65">
      <c r="A205" s="74">
        <f>IF(OR('Monthly Activity Log'!K136="In Progress",'Monthly Activity Log'!K136="Pending"),'Monthly Activity Log'!H136,"")</f>
        <v/>
      </c>
      <c r="B205" s="74">
        <f>IF(OR('Monthly Activity Log'!K136="In Progress",'Monthly Activity Log'!K136="Pending"),'Monthly Activity Log'!C136,"")</f>
        <v/>
      </c>
      <c r="C205" s="74">
        <f>IF(OR('Monthly Activity Log'!K136="In Progress",'Monthly Activity Log'!K136="Pending"),'Monthly Activity Log'!E136,"")</f>
        <v/>
      </c>
      <c r="D205" s="74">
        <f>IF(OR('Monthly Activity Log'!K136="In Progress",'Monthly Activity Log'!K136="Pending"),'Monthly Activity Log'!F136,"")</f>
        <v/>
      </c>
      <c r="E205" s="74">
        <f>IF(OR('Monthly Activity Log'!K136="In Progress",'Monthly Activity Log'!K136="Pending"),'Monthly Activity Log'!G136,"")</f>
        <v/>
      </c>
      <c r="F205" s="74">
        <f>IF(OR('Monthly Activity Log'!K136="In Progress",'Monthly Activity Log'!K136="Pending"),'Monthly Activity Log'!I136,"")</f>
        <v/>
      </c>
      <c r="G205" s="74">
        <f>IF(OR('Monthly Activity Log'!K136="In Progress",'Monthly Activity Log'!K136="Pending"),'Monthly Activity Log'!J136,"")</f>
        <v/>
      </c>
      <c r="H205" s="74">
        <f>IF(OR('Monthly Activity Log'!K136="In Progress",'Monthly Activity Log'!K136="Pending"),'Monthly Activity Log'!K136,"")</f>
        <v/>
      </c>
      <c r="I205" s="74">
        <f>IF(OR('Monthly Activity Log'!K136="In Progress",'Monthly Activity Log'!K136="Pending"),'Monthly Activity Log'!B136,"")</f>
        <v/>
      </c>
      <c r="J205" s="74">
        <f>IF(OR('Monthly Activity Log'!K136="In Progress",'Monthly Activity Log'!K136="Pending"),'Monthly Activity Log'!L136,"")</f>
        <v/>
      </c>
    </row>
    <row r="206" ht="15.75" customHeight="1" s="65">
      <c r="A206" s="70">
        <f>IF(OR('Monthly Activity Log'!K137="In Progress",'Monthly Activity Log'!K137="Pending"),'Monthly Activity Log'!H137,"")</f>
        <v/>
      </c>
      <c r="B206" s="70">
        <f>IF(OR('Monthly Activity Log'!K137="In Progress",'Monthly Activity Log'!K137="Pending"),'Monthly Activity Log'!C137,"")</f>
        <v/>
      </c>
      <c r="C206" s="70">
        <f>IF(OR('Monthly Activity Log'!K137="In Progress",'Monthly Activity Log'!K137="Pending"),'Monthly Activity Log'!E137,"")</f>
        <v/>
      </c>
      <c r="D206" s="70">
        <f>IF(OR('Monthly Activity Log'!K137="In Progress",'Monthly Activity Log'!K137="Pending"),'Monthly Activity Log'!F137,"")</f>
        <v/>
      </c>
      <c r="E206" s="70">
        <f>IF(OR('Monthly Activity Log'!K137="In Progress",'Monthly Activity Log'!K137="Pending"),'Monthly Activity Log'!G137,"")</f>
        <v/>
      </c>
      <c r="F206" s="70">
        <f>IF(OR('Monthly Activity Log'!K137="In Progress",'Monthly Activity Log'!K137="Pending"),'Monthly Activity Log'!I137,"")</f>
        <v/>
      </c>
      <c r="G206" s="70">
        <f>IF(OR('Monthly Activity Log'!K137="In Progress",'Monthly Activity Log'!K137="Pending"),'Monthly Activity Log'!J137,"")</f>
        <v/>
      </c>
      <c r="H206" s="70">
        <f>IF(OR('Monthly Activity Log'!K137="In Progress",'Monthly Activity Log'!K137="Pending"),'Monthly Activity Log'!K137,"")</f>
        <v/>
      </c>
      <c r="I206" s="70">
        <f>IF(OR('Monthly Activity Log'!K137="In Progress",'Monthly Activity Log'!K137="Pending"),'Monthly Activity Log'!B137,"")</f>
        <v/>
      </c>
      <c r="J206" s="70">
        <f>IF(OR('Monthly Activity Log'!K137="In Progress",'Monthly Activity Log'!K137="Pending"),'Monthly Activity Log'!L137,"")</f>
        <v/>
      </c>
    </row>
    <row r="207" ht="15.75" customHeight="1" s="65">
      <c r="A207" s="74">
        <f>IF(OR('Monthly Activity Log'!K138="In Progress",'Monthly Activity Log'!K138="Pending"),'Monthly Activity Log'!H138,"")</f>
        <v/>
      </c>
      <c r="B207" s="74">
        <f>IF(OR('Monthly Activity Log'!K138="In Progress",'Monthly Activity Log'!K138="Pending"),'Monthly Activity Log'!C138,"")</f>
        <v/>
      </c>
      <c r="C207" s="74">
        <f>IF(OR('Monthly Activity Log'!K138="In Progress",'Monthly Activity Log'!K138="Pending"),'Monthly Activity Log'!E138,"")</f>
        <v/>
      </c>
      <c r="D207" s="74">
        <f>IF(OR('Monthly Activity Log'!K138="In Progress",'Monthly Activity Log'!K138="Pending"),'Monthly Activity Log'!F138,"")</f>
        <v/>
      </c>
      <c r="E207" s="74">
        <f>IF(OR('Monthly Activity Log'!K138="In Progress",'Monthly Activity Log'!K138="Pending"),'Monthly Activity Log'!G138,"")</f>
        <v/>
      </c>
      <c r="F207" s="74">
        <f>IF(OR('Monthly Activity Log'!K138="In Progress",'Monthly Activity Log'!K138="Pending"),'Monthly Activity Log'!I138,"")</f>
        <v/>
      </c>
      <c r="G207" s="74">
        <f>IF(OR('Monthly Activity Log'!K138="In Progress",'Monthly Activity Log'!K138="Pending"),'Monthly Activity Log'!J138,"")</f>
        <v/>
      </c>
      <c r="H207" s="74">
        <f>IF(OR('Monthly Activity Log'!K138="In Progress",'Monthly Activity Log'!K138="Pending"),'Monthly Activity Log'!K138,"")</f>
        <v/>
      </c>
      <c r="I207" s="74">
        <f>IF(OR('Monthly Activity Log'!K138="In Progress",'Monthly Activity Log'!K138="Pending"),'Monthly Activity Log'!B138,"")</f>
        <v/>
      </c>
      <c r="J207" s="74">
        <f>IF(OR('Monthly Activity Log'!K138="In Progress",'Monthly Activity Log'!K138="Pending"),'Monthly Activity Log'!L138,"")</f>
        <v/>
      </c>
    </row>
    <row r="208" ht="15.75" customHeight="1" s="65">
      <c r="A208" s="70">
        <f>IF(OR('Monthly Activity Log'!K139="In Progress",'Monthly Activity Log'!K139="Pending"),'Monthly Activity Log'!H139,"")</f>
        <v/>
      </c>
      <c r="B208" s="70">
        <f>IF(OR('Monthly Activity Log'!K139="In Progress",'Monthly Activity Log'!K139="Pending"),'Monthly Activity Log'!C139,"")</f>
        <v/>
      </c>
      <c r="C208" s="70">
        <f>IF(OR('Monthly Activity Log'!K139="In Progress",'Monthly Activity Log'!K139="Pending"),'Monthly Activity Log'!E139,"")</f>
        <v/>
      </c>
      <c r="D208" s="70">
        <f>IF(OR('Monthly Activity Log'!K139="In Progress",'Monthly Activity Log'!K139="Pending"),'Monthly Activity Log'!F139,"")</f>
        <v/>
      </c>
      <c r="E208" s="70">
        <f>IF(OR('Monthly Activity Log'!K139="In Progress",'Monthly Activity Log'!K139="Pending"),'Monthly Activity Log'!G139,"")</f>
        <v/>
      </c>
      <c r="F208" s="70">
        <f>IF(OR('Monthly Activity Log'!K139="In Progress",'Monthly Activity Log'!K139="Pending"),'Monthly Activity Log'!I139,"")</f>
        <v/>
      </c>
      <c r="G208" s="70">
        <f>IF(OR('Monthly Activity Log'!K139="In Progress",'Monthly Activity Log'!K139="Pending"),'Monthly Activity Log'!J139,"")</f>
        <v/>
      </c>
      <c r="H208" s="70">
        <f>IF(OR('Monthly Activity Log'!K139="In Progress",'Monthly Activity Log'!K139="Pending"),'Monthly Activity Log'!K139,"")</f>
        <v/>
      </c>
      <c r="I208" s="70">
        <f>IF(OR('Monthly Activity Log'!K139="In Progress",'Monthly Activity Log'!K139="Pending"),'Monthly Activity Log'!B139,"")</f>
        <v/>
      </c>
      <c r="J208" s="70">
        <f>IF(OR('Monthly Activity Log'!K139="In Progress",'Monthly Activity Log'!K139="Pending"),'Monthly Activity Log'!L139,"")</f>
        <v/>
      </c>
    </row>
    <row r="209" ht="15.75" customHeight="1" s="65">
      <c r="A209" s="74">
        <f>IF(OR('Monthly Activity Log'!K140="In Progress",'Monthly Activity Log'!K140="Pending"),'Monthly Activity Log'!H140,"")</f>
        <v/>
      </c>
      <c r="B209" s="74">
        <f>IF(OR('Monthly Activity Log'!K140="In Progress",'Monthly Activity Log'!K140="Pending"),'Monthly Activity Log'!C140,"")</f>
        <v/>
      </c>
      <c r="C209" s="74">
        <f>IF(OR('Monthly Activity Log'!K140="In Progress",'Monthly Activity Log'!K140="Pending"),'Monthly Activity Log'!E140,"")</f>
        <v/>
      </c>
      <c r="D209" s="74">
        <f>IF(OR('Monthly Activity Log'!K140="In Progress",'Monthly Activity Log'!K140="Pending"),'Monthly Activity Log'!F140,"")</f>
        <v/>
      </c>
      <c r="E209" s="74">
        <f>IF(OR('Monthly Activity Log'!K140="In Progress",'Monthly Activity Log'!K140="Pending"),'Monthly Activity Log'!G140,"")</f>
        <v/>
      </c>
      <c r="F209" s="74">
        <f>IF(OR('Monthly Activity Log'!K140="In Progress",'Monthly Activity Log'!K140="Pending"),'Monthly Activity Log'!I140,"")</f>
        <v/>
      </c>
      <c r="G209" s="74">
        <f>IF(OR('Monthly Activity Log'!K140="In Progress",'Monthly Activity Log'!K140="Pending"),'Monthly Activity Log'!J140,"")</f>
        <v/>
      </c>
      <c r="H209" s="74">
        <f>IF(OR('Monthly Activity Log'!K140="In Progress",'Monthly Activity Log'!K140="Pending"),'Monthly Activity Log'!K140,"")</f>
        <v/>
      </c>
      <c r="I209" s="74">
        <f>IF(OR('Monthly Activity Log'!K140="In Progress",'Monthly Activity Log'!K140="Pending"),'Monthly Activity Log'!B140,"")</f>
        <v/>
      </c>
      <c r="J209" s="74">
        <f>IF(OR('Monthly Activity Log'!K140="In Progress",'Monthly Activity Log'!K140="Pending"),'Monthly Activity Log'!L140,"")</f>
        <v/>
      </c>
    </row>
    <row r="210" ht="15.75" customHeight="1" s="65">
      <c r="A210" s="70">
        <f>IF(OR('Monthly Activity Log'!K141="In Progress",'Monthly Activity Log'!K141="Pending"),'Monthly Activity Log'!H141,"")</f>
        <v/>
      </c>
      <c r="B210" s="70">
        <f>IF(OR('Monthly Activity Log'!K141="In Progress",'Monthly Activity Log'!K141="Pending"),'Monthly Activity Log'!C141,"")</f>
        <v/>
      </c>
      <c r="C210" s="70">
        <f>IF(OR('Monthly Activity Log'!K141="In Progress",'Monthly Activity Log'!K141="Pending"),'Monthly Activity Log'!E141,"")</f>
        <v/>
      </c>
      <c r="D210" s="70">
        <f>IF(OR('Monthly Activity Log'!K141="In Progress",'Monthly Activity Log'!K141="Pending"),'Monthly Activity Log'!F141,"")</f>
        <v/>
      </c>
      <c r="E210" s="70">
        <f>IF(OR('Monthly Activity Log'!K141="In Progress",'Monthly Activity Log'!K141="Pending"),'Monthly Activity Log'!G141,"")</f>
        <v/>
      </c>
      <c r="F210" s="70">
        <f>IF(OR('Monthly Activity Log'!K141="In Progress",'Monthly Activity Log'!K141="Pending"),'Monthly Activity Log'!I141,"")</f>
        <v/>
      </c>
      <c r="G210" s="70">
        <f>IF(OR('Monthly Activity Log'!K141="In Progress",'Monthly Activity Log'!K141="Pending"),'Monthly Activity Log'!J141,"")</f>
        <v/>
      </c>
      <c r="H210" s="70">
        <f>IF(OR('Monthly Activity Log'!K141="In Progress",'Monthly Activity Log'!K141="Pending"),'Monthly Activity Log'!K141,"")</f>
        <v/>
      </c>
      <c r="I210" s="70">
        <f>IF(OR('Monthly Activity Log'!K141="In Progress",'Monthly Activity Log'!K141="Pending"),'Monthly Activity Log'!B141,"")</f>
        <v/>
      </c>
      <c r="J210" s="70">
        <f>IF(OR('Monthly Activity Log'!K141="In Progress",'Monthly Activity Log'!K141="Pending"),'Monthly Activity Log'!L141,"")</f>
        <v/>
      </c>
    </row>
    <row r="211" ht="15.75" customHeight="1" s="65">
      <c r="A211" s="74">
        <f>IF(OR('Monthly Activity Log'!K142="In Progress",'Monthly Activity Log'!K142="Pending"),'Monthly Activity Log'!H142,"")</f>
        <v/>
      </c>
      <c r="B211" s="74">
        <f>IF(OR('Monthly Activity Log'!K142="In Progress",'Monthly Activity Log'!K142="Pending"),'Monthly Activity Log'!C142,"")</f>
        <v/>
      </c>
      <c r="C211" s="74">
        <f>IF(OR('Monthly Activity Log'!K142="In Progress",'Monthly Activity Log'!K142="Pending"),'Monthly Activity Log'!E142,"")</f>
        <v/>
      </c>
      <c r="D211" s="74">
        <f>IF(OR('Monthly Activity Log'!K142="In Progress",'Monthly Activity Log'!K142="Pending"),'Monthly Activity Log'!F142,"")</f>
        <v/>
      </c>
      <c r="E211" s="74">
        <f>IF(OR('Monthly Activity Log'!K142="In Progress",'Monthly Activity Log'!K142="Pending"),'Monthly Activity Log'!G142,"")</f>
        <v/>
      </c>
      <c r="F211" s="74">
        <f>IF(OR('Monthly Activity Log'!K142="In Progress",'Monthly Activity Log'!K142="Pending"),'Monthly Activity Log'!I142,"")</f>
        <v/>
      </c>
      <c r="G211" s="74">
        <f>IF(OR('Monthly Activity Log'!K142="In Progress",'Monthly Activity Log'!K142="Pending"),'Monthly Activity Log'!J142,"")</f>
        <v/>
      </c>
      <c r="H211" s="74">
        <f>IF(OR('Monthly Activity Log'!K142="In Progress",'Monthly Activity Log'!K142="Pending"),'Monthly Activity Log'!K142,"")</f>
        <v/>
      </c>
      <c r="I211" s="74">
        <f>IF(OR('Monthly Activity Log'!K142="In Progress",'Monthly Activity Log'!K142="Pending"),'Monthly Activity Log'!B142,"")</f>
        <v/>
      </c>
      <c r="J211" s="74">
        <f>IF(OR('Monthly Activity Log'!K142="In Progress",'Monthly Activity Log'!K142="Pending"),'Monthly Activity Log'!L142,"")</f>
        <v/>
      </c>
    </row>
    <row r="212" ht="15.75" customHeight="1" s="65">
      <c r="A212" s="70">
        <f>IF(OR('Monthly Activity Log'!K143="In Progress",'Monthly Activity Log'!K143="Pending"),'Monthly Activity Log'!H143,"")</f>
        <v/>
      </c>
      <c r="B212" s="70">
        <f>IF(OR('Monthly Activity Log'!K143="In Progress",'Monthly Activity Log'!K143="Pending"),'Monthly Activity Log'!C143,"")</f>
        <v/>
      </c>
      <c r="C212" s="70">
        <f>IF(OR('Monthly Activity Log'!K143="In Progress",'Monthly Activity Log'!K143="Pending"),'Monthly Activity Log'!E143,"")</f>
        <v/>
      </c>
      <c r="D212" s="70">
        <f>IF(OR('Monthly Activity Log'!K143="In Progress",'Monthly Activity Log'!K143="Pending"),'Monthly Activity Log'!F143,"")</f>
        <v/>
      </c>
      <c r="E212" s="70">
        <f>IF(OR('Monthly Activity Log'!K143="In Progress",'Monthly Activity Log'!K143="Pending"),'Monthly Activity Log'!G143,"")</f>
        <v/>
      </c>
      <c r="F212" s="70">
        <f>IF(OR('Monthly Activity Log'!K143="In Progress",'Monthly Activity Log'!K143="Pending"),'Monthly Activity Log'!I143,"")</f>
        <v/>
      </c>
      <c r="G212" s="70">
        <f>IF(OR('Monthly Activity Log'!K143="In Progress",'Monthly Activity Log'!K143="Pending"),'Monthly Activity Log'!J143,"")</f>
        <v/>
      </c>
      <c r="H212" s="70">
        <f>IF(OR('Monthly Activity Log'!K143="In Progress",'Monthly Activity Log'!K143="Pending"),'Monthly Activity Log'!K143,"")</f>
        <v/>
      </c>
      <c r="I212" s="70">
        <f>IF(OR('Monthly Activity Log'!K143="In Progress",'Monthly Activity Log'!K143="Pending"),'Monthly Activity Log'!B143,"")</f>
        <v/>
      </c>
      <c r="J212" s="70">
        <f>IF(OR('Monthly Activity Log'!K143="In Progress",'Monthly Activity Log'!K143="Pending"),'Monthly Activity Log'!L143,"")</f>
        <v/>
      </c>
    </row>
    <row r="213" ht="15.75" customHeight="1" s="65">
      <c r="A213" s="74">
        <f>IF(OR('Monthly Activity Log'!K144="In Progress",'Monthly Activity Log'!K144="Pending"),'Monthly Activity Log'!H144,"")</f>
        <v/>
      </c>
      <c r="B213" s="74">
        <f>IF(OR('Monthly Activity Log'!K144="In Progress",'Monthly Activity Log'!K144="Pending"),'Monthly Activity Log'!C144,"")</f>
        <v/>
      </c>
      <c r="C213" s="74">
        <f>IF(OR('Monthly Activity Log'!K144="In Progress",'Monthly Activity Log'!K144="Pending"),'Monthly Activity Log'!E144,"")</f>
        <v/>
      </c>
      <c r="D213" s="74">
        <f>IF(OR('Monthly Activity Log'!K144="In Progress",'Monthly Activity Log'!K144="Pending"),'Monthly Activity Log'!F144,"")</f>
        <v/>
      </c>
      <c r="E213" s="74">
        <f>IF(OR('Monthly Activity Log'!K144="In Progress",'Monthly Activity Log'!K144="Pending"),'Monthly Activity Log'!G144,"")</f>
        <v/>
      </c>
      <c r="F213" s="74">
        <f>IF(OR('Monthly Activity Log'!K144="In Progress",'Monthly Activity Log'!K144="Pending"),'Monthly Activity Log'!I144,"")</f>
        <v/>
      </c>
      <c r="G213" s="74">
        <f>IF(OR('Monthly Activity Log'!K144="In Progress",'Monthly Activity Log'!K144="Pending"),'Monthly Activity Log'!J144,"")</f>
        <v/>
      </c>
      <c r="H213" s="74">
        <f>IF(OR('Monthly Activity Log'!K144="In Progress",'Monthly Activity Log'!K144="Pending"),'Monthly Activity Log'!K144,"")</f>
        <v/>
      </c>
      <c r="I213" s="74">
        <f>IF(OR('Monthly Activity Log'!K144="In Progress",'Monthly Activity Log'!K144="Pending"),'Monthly Activity Log'!B144,"")</f>
        <v/>
      </c>
      <c r="J213" s="74">
        <f>IF(OR('Monthly Activity Log'!K144="In Progress",'Monthly Activity Log'!K144="Pending"),'Monthly Activity Log'!L144,"")</f>
        <v/>
      </c>
    </row>
    <row r="214" ht="15.75" customHeight="1" s="65">
      <c r="A214" s="70">
        <f>IF(OR('Monthly Activity Log'!K145="In Progress",'Monthly Activity Log'!K145="Pending"),'Monthly Activity Log'!H145,"")</f>
        <v/>
      </c>
      <c r="B214" s="70">
        <f>IF(OR('Monthly Activity Log'!K145="In Progress",'Monthly Activity Log'!K145="Pending"),'Monthly Activity Log'!C145,"")</f>
        <v/>
      </c>
      <c r="C214" s="70">
        <f>IF(OR('Monthly Activity Log'!K145="In Progress",'Monthly Activity Log'!K145="Pending"),'Monthly Activity Log'!E145,"")</f>
        <v/>
      </c>
      <c r="D214" s="70">
        <f>IF(OR('Monthly Activity Log'!K145="In Progress",'Monthly Activity Log'!K145="Pending"),'Monthly Activity Log'!F145,"")</f>
        <v/>
      </c>
      <c r="E214" s="70">
        <f>IF(OR('Monthly Activity Log'!K145="In Progress",'Monthly Activity Log'!K145="Pending"),'Monthly Activity Log'!G145,"")</f>
        <v/>
      </c>
      <c r="F214" s="70">
        <f>IF(OR('Monthly Activity Log'!K145="In Progress",'Monthly Activity Log'!K145="Pending"),'Monthly Activity Log'!I145,"")</f>
        <v/>
      </c>
      <c r="G214" s="70">
        <f>IF(OR('Monthly Activity Log'!K145="In Progress",'Monthly Activity Log'!K145="Pending"),'Monthly Activity Log'!J145,"")</f>
        <v/>
      </c>
      <c r="H214" s="70">
        <f>IF(OR('Monthly Activity Log'!K145="In Progress",'Monthly Activity Log'!K145="Pending"),'Monthly Activity Log'!K145,"")</f>
        <v/>
      </c>
      <c r="I214" s="70">
        <f>IF(OR('Monthly Activity Log'!K145="In Progress",'Monthly Activity Log'!K145="Pending"),'Monthly Activity Log'!B145,"")</f>
        <v/>
      </c>
      <c r="J214" s="70">
        <f>IF(OR('Monthly Activity Log'!K145="In Progress",'Monthly Activity Log'!K145="Pending"),'Monthly Activity Log'!L145,"")</f>
        <v/>
      </c>
    </row>
    <row r="215" ht="15.75" customHeight="1" s="65">
      <c r="A215" s="74">
        <f>IF(OR('Monthly Activity Log'!K146="In Progress",'Monthly Activity Log'!K146="Pending"),'Monthly Activity Log'!H146,"")</f>
        <v/>
      </c>
      <c r="B215" s="74">
        <f>IF(OR('Monthly Activity Log'!K146="In Progress",'Monthly Activity Log'!K146="Pending"),'Monthly Activity Log'!C146,"")</f>
        <v/>
      </c>
      <c r="C215" s="74">
        <f>IF(OR('Monthly Activity Log'!K146="In Progress",'Monthly Activity Log'!K146="Pending"),'Monthly Activity Log'!E146,"")</f>
        <v/>
      </c>
      <c r="D215" s="74">
        <f>IF(OR('Monthly Activity Log'!K146="In Progress",'Monthly Activity Log'!K146="Pending"),'Monthly Activity Log'!F146,"")</f>
        <v/>
      </c>
      <c r="E215" s="74">
        <f>IF(OR('Monthly Activity Log'!K146="In Progress",'Monthly Activity Log'!K146="Pending"),'Monthly Activity Log'!G146,"")</f>
        <v/>
      </c>
      <c r="F215" s="74">
        <f>IF(OR('Monthly Activity Log'!K146="In Progress",'Monthly Activity Log'!K146="Pending"),'Monthly Activity Log'!I146,"")</f>
        <v/>
      </c>
      <c r="G215" s="74">
        <f>IF(OR('Monthly Activity Log'!K146="In Progress",'Monthly Activity Log'!K146="Pending"),'Monthly Activity Log'!J146,"")</f>
        <v/>
      </c>
      <c r="H215" s="74">
        <f>IF(OR('Monthly Activity Log'!K146="In Progress",'Monthly Activity Log'!K146="Pending"),'Monthly Activity Log'!K146,"")</f>
        <v/>
      </c>
      <c r="I215" s="74">
        <f>IF(OR('Monthly Activity Log'!K146="In Progress",'Monthly Activity Log'!K146="Pending"),'Monthly Activity Log'!B146,"")</f>
        <v/>
      </c>
      <c r="J215" s="74">
        <f>IF(OR('Monthly Activity Log'!K146="In Progress",'Monthly Activity Log'!K146="Pending"),'Monthly Activity Log'!L146,"")</f>
        <v/>
      </c>
    </row>
    <row r="216" ht="15.75" customHeight="1" s="65">
      <c r="A216" s="70">
        <f>IF(OR('Monthly Activity Log'!K147="In Progress",'Monthly Activity Log'!K147="Pending"),'Monthly Activity Log'!H147,"")</f>
        <v/>
      </c>
      <c r="B216" s="70">
        <f>IF(OR('Monthly Activity Log'!K147="In Progress",'Monthly Activity Log'!K147="Pending"),'Monthly Activity Log'!C147,"")</f>
        <v/>
      </c>
      <c r="C216" s="70">
        <f>IF(OR('Monthly Activity Log'!K147="In Progress",'Monthly Activity Log'!K147="Pending"),'Monthly Activity Log'!E147,"")</f>
        <v/>
      </c>
      <c r="D216" s="70">
        <f>IF(OR('Monthly Activity Log'!K147="In Progress",'Monthly Activity Log'!K147="Pending"),'Monthly Activity Log'!F147,"")</f>
        <v/>
      </c>
      <c r="E216" s="70">
        <f>IF(OR('Monthly Activity Log'!K147="In Progress",'Monthly Activity Log'!K147="Pending"),'Monthly Activity Log'!G147,"")</f>
        <v/>
      </c>
      <c r="F216" s="70">
        <f>IF(OR('Monthly Activity Log'!K147="In Progress",'Monthly Activity Log'!K147="Pending"),'Monthly Activity Log'!I147,"")</f>
        <v/>
      </c>
      <c r="G216" s="70">
        <f>IF(OR('Monthly Activity Log'!K147="In Progress",'Monthly Activity Log'!K147="Pending"),'Monthly Activity Log'!J147,"")</f>
        <v/>
      </c>
      <c r="H216" s="70">
        <f>IF(OR('Monthly Activity Log'!K147="In Progress",'Monthly Activity Log'!K147="Pending"),'Monthly Activity Log'!K147,"")</f>
        <v/>
      </c>
      <c r="I216" s="70">
        <f>IF(OR('Monthly Activity Log'!K147="In Progress",'Monthly Activity Log'!K147="Pending"),'Monthly Activity Log'!B147,"")</f>
        <v/>
      </c>
      <c r="J216" s="70">
        <f>IF(OR('Monthly Activity Log'!K147="In Progress",'Monthly Activity Log'!K147="Pending"),'Monthly Activity Log'!L147,"")</f>
        <v/>
      </c>
    </row>
    <row r="217" ht="15.75" customHeight="1" s="65">
      <c r="A217" s="74">
        <f>IF(OR('Monthly Activity Log'!K148="In Progress",'Monthly Activity Log'!K148="Pending"),'Monthly Activity Log'!H148,"")</f>
        <v/>
      </c>
      <c r="B217" s="74">
        <f>IF(OR('Monthly Activity Log'!K148="In Progress",'Monthly Activity Log'!K148="Pending"),'Monthly Activity Log'!C148,"")</f>
        <v/>
      </c>
      <c r="C217" s="74">
        <f>IF(OR('Monthly Activity Log'!K148="In Progress",'Monthly Activity Log'!K148="Pending"),'Monthly Activity Log'!E148,"")</f>
        <v/>
      </c>
      <c r="D217" s="74">
        <f>IF(OR('Monthly Activity Log'!K148="In Progress",'Monthly Activity Log'!K148="Pending"),'Monthly Activity Log'!F148,"")</f>
        <v/>
      </c>
      <c r="E217" s="74">
        <f>IF(OR('Monthly Activity Log'!K148="In Progress",'Monthly Activity Log'!K148="Pending"),'Monthly Activity Log'!G148,"")</f>
        <v/>
      </c>
      <c r="F217" s="74">
        <f>IF(OR('Monthly Activity Log'!K148="In Progress",'Monthly Activity Log'!K148="Pending"),'Monthly Activity Log'!I148,"")</f>
        <v/>
      </c>
      <c r="G217" s="74">
        <f>IF(OR('Monthly Activity Log'!K148="In Progress",'Monthly Activity Log'!K148="Pending"),'Monthly Activity Log'!J148,"")</f>
        <v/>
      </c>
      <c r="H217" s="74">
        <f>IF(OR('Monthly Activity Log'!K148="In Progress",'Monthly Activity Log'!K148="Pending"),'Monthly Activity Log'!K148,"")</f>
        <v/>
      </c>
      <c r="I217" s="74">
        <f>IF(OR('Monthly Activity Log'!K148="In Progress",'Monthly Activity Log'!K148="Pending"),'Monthly Activity Log'!B148,"")</f>
        <v/>
      </c>
      <c r="J217" s="74">
        <f>IF(OR('Monthly Activity Log'!K148="In Progress",'Monthly Activity Log'!K148="Pending"),'Monthly Activity Log'!L148,"")</f>
        <v/>
      </c>
    </row>
    <row r="218" ht="15.75" customHeight="1" s="65">
      <c r="A218" s="70">
        <f>IF(OR('Monthly Activity Log'!K149="In Progress",'Monthly Activity Log'!K149="Pending"),'Monthly Activity Log'!H149,"")</f>
        <v/>
      </c>
      <c r="B218" s="70">
        <f>IF(OR('Monthly Activity Log'!K149="In Progress",'Monthly Activity Log'!K149="Pending"),'Monthly Activity Log'!C149,"")</f>
        <v/>
      </c>
      <c r="C218" s="70">
        <f>IF(OR('Monthly Activity Log'!K149="In Progress",'Monthly Activity Log'!K149="Pending"),'Monthly Activity Log'!E149,"")</f>
        <v/>
      </c>
      <c r="D218" s="70">
        <f>IF(OR('Monthly Activity Log'!K149="In Progress",'Monthly Activity Log'!K149="Pending"),'Monthly Activity Log'!F149,"")</f>
        <v/>
      </c>
      <c r="E218" s="70">
        <f>IF(OR('Monthly Activity Log'!K149="In Progress",'Monthly Activity Log'!K149="Pending"),'Monthly Activity Log'!G149,"")</f>
        <v/>
      </c>
      <c r="F218" s="70">
        <f>IF(OR('Monthly Activity Log'!K149="In Progress",'Monthly Activity Log'!K149="Pending"),'Monthly Activity Log'!I149,"")</f>
        <v/>
      </c>
      <c r="G218" s="70">
        <f>IF(OR('Monthly Activity Log'!K149="In Progress",'Monthly Activity Log'!K149="Pending"),'Monthly Activity Log'!J149,"")</f>
        <v/>
      </c>
      <c r="H218" s="70">
        <f>IF(OR('Monthly Activity Log'!K149="In Progress",'Monthly Activity Log'!K149="Pending"),'Monthly Activity Log'!K149,"")</f>
        <v/>
      </c>
      <c r="I218" s="70">
        <f>IF(OR('Monthly Activity Log'!K149="In Progress",'Monthly Activity Log'!K149="Pending"),'Monthly Activity Log'!B149,"")</f>
        <v/>
      </c>
      <c r="J218" s="70">
        <f>IF(OR('Monthly Activity Log'!K149="In Progress",'Monthly Activity Log'!K149="Pending"),'Monthly Activity Log'!L149,"")</f>
        <v/>
      </c>
    </row>
    <row r="219" ht="15.75" customHeight="1" s="65">
      <c r="A219" s="74">
        <f>IF(OR('Monthly Activity Log'!K150="In Progress",'Monthly Activity Log'!K150="Pending"),'Monthly Activity Log'!H150,"")</f>
        <v/>
      </c>
      <c r="B219" s="74">
        <f>IF(OR('Monthly Activity Log'!K150="In Progress",'Monthly Activity Log'!K150="Pending"),'Monthly Activity Log'!C150,"")</f>
        <v/>
      </c>
      <c r="C219" s="74">
        <f>IF(OR('Monthly Activity Log'!K150="In Progress",'Monthly Activity Log'!K150="Pending"),'Monthly Activity Log'!E150,"")</f>
        <v/>
      </c>
      <c r="D219" s="74">
        <f>IF(OR('Monthly Activity Log'!K150="In Progress",'Monthly Activity Log'!K150="Pending"),'Monthly Activity Log'!F150,"")</f>
        <v/>
      </c>
      <c r="E219" s="74">
        <f>IF(OR('Monthly Activity Log'!K150="In Progress",'Monthly Activity Log'!K150="Pending"),'Monthly Activity Log'!G150,"")</f>
        <v/>
      </c>
      <c r="F219" s="74">
        <f>IF(OR('Monthly Activity Log'!K150="In Progress",'Monthly Activity Log'!K150="Pending"),'Monthly Activity Log'!I150,"")</f>
        <v/>
      </c>
      <c r="G219" s="74">
        <f>IF(OR('Monthly Activity Log'!K150="In Progress",'Monthly Activity Log'!K150="Pending"),'Monthly Activity Log'!J150,"")</f>
        <v/>
      </c>
      <c r="H219" s="74">
        <f>IF(OR('Monthly Activity Log'!K150="In Progress",'Monthly Activity Log'!K150="Pending"),'Monthly Activity Log'!K150,"")</f>
        <v/>
      </c>
      <c r="I219" s="74">
        <f>IF(OR('Monthly Activity Log'!K150="In Progress",'Monthly Activity Log'!K150="Pending"),'Monthly Activity Log'!B150,"")</f>
        <v/>
      </c>
      <c r="J219" s="74">
        <f>IF(OR('Monthly Activity Log'!K150="In Progress",'Monthly Activity Log'!K150="Pending"),'Monthly Activity Log'!L150,"")</f>
        <v/>
      </c>
    </row>
    <row r="220" ht="15.75" customHeight="1" s="65">
      <c r="A220" s="70">
        <f>IF(OR('Monthly Activity Log'!K151="In Progress",'Monthly Activity Log'!K151="Pending"),'Monthly Activity Log'!H151,"")</f>
        <v/>
      </c>
      <c r="B220" s="70">
        <f>IF(OR('Monthly Activity Log'!K151="In Progress",'Monthly Activity Log'!K151="Pending"),'Monthly Activity Log'!C151,"")</f>
        <v/>
      </c>
      <c r="C220" s="70">
        <f>IF(OR('Monthly Activity Log'!K151="In Progress",'Monthly Activity Log'!K151="Pending"),'Monthly Activity Log'!E151,"")</f>
        <v/>
      </c>
      <c r="D220" s="70">
        <f>IF(OR('Monthly Activity Log'!K151="In Progress",'Monthly Activity Log'!K151="Pending"),'Monthly Activity Log'!F151,"")</f>
        <v/>
      </c>
      <c r="E220" s="70">
        <f>IF(OR('Monthly Activity Log'!K151="In Progress",'Monthly Activity Log'!K151="Pending"),'Monthly Activity Log'!G151,"")</f>
        <v/>
      </c>
      <c r="F220" s="70">
        <f>IF(OR('Monthly Activity Log'!K151="In Progress",'Monthly Activity Log'!K151="Pending"),'Monthly Activity Log'!I151,"")</f>
        <v/>
      </c>
      <c r="G220" s="70">
        <f>IF(OR('Monthly Activity Log'!K151="In Progress",'Monthly Activity Log'!K151="Pending"),'Monthly Activity Log'!J151,"")</f>
        <v/>
      </c>
      <c r="H220" s="70">
        <f>IF(OR('Monthly Activity Log'!K151="In Progress",'Monthly Activity Log'!K151="Pending"),'Monthly Activity Log'!K151,"")</f>
        <v/>
      </c>
      <c r="I220" s="70">
        <f>IF(OR('Monthly Activity Log'!K151="In Progress",'Monthly Activity Log'!K151="Pending"),'Monthly Activity Log'!B151,"")</f>
        <v/>
      </c>
      <c r="J220" s="70">
        <f>IF(OR('Monthly Activity Log'!K151="In Progress",'Monthly Activity Log'!K151="Pending"),'Monthly Activity Log'!L151,"")</f>
        <v/>
      </c>
    </row>
    <row r="221" ht="15.75" customHeight="1" s="65">
      <c r="A221" s="74">
        <f>IF(OR('Monthly Activity Log'!K152="In Progress",'Monthly Activity Log'!K152="Pending"),'Monthly Activity Log'!H152,"")</f>
        <v/>
      </c>
      <c r="B221" s="74">
        <f>IF(OR('Monthly Activity Log'!K152="In Progress",'Monthly Activity Log'!K152="Pending"),'Monthly Activity Log'!C152,"")</f>
        <v/>
      </c>
      <c r="C221" s="74">
        <f>IF(OR('Monthly Activity Log'!K152="In Progress",'Monthly Activity Log'!K152="Pending"),'Monthly Activity Log'!E152,"")</f>
        <v/>
      </c>
      <c r="D221" s="74">
        <f>IF(OR('Monthly Activity Log'!K152="In Progress",'Monthly Activity Log'!K152="Pending"),'Monthly Activity Log'!F152,"")</f>
        <v/>
      </c>
      <c r="E221" s="74">
        <f>IF(OR('Monthly Activity Log'!K152="In Progress",'Monthly Activity Log'!K152="Pending"),'Monthly Activity Log'!G152,"")</f>
        <v/>
      </c>
      <c r="F221" s="74">
        <f>IF(OR('Monthly Activity Log'!K152="In Progress",'Monthly Activity Log'!K152="Pending"),'Monthly Activity Log'!I152,"")</f>
        <v/>
      </c>
      <c r="G221" s="74">
        <f>IF(OR('Monthly Activity Log'!K152="In Progress",'Monthly Activity Log'!K152="Pending"),'Monthly Activity Log'!J152,"")</f>
        <v/>
      </c>
      <c r="H221" s="74">
        <f>IF(OR('Monthly Activity Log'!K152="In Progress",'Monthly Activity Log'!K152="Pending"),'Monthly Activity Log'!K152,"")</f>
        <v/>
      </c>
      <c r="I221" s="74">
        <f>IF(OR('Monthly Activity Log'!K152="In Progress",'Monthly Activity Log'!K152="Pending"),'Monthly Activity Log'!B152,"")</f>
        <v/>
      </c>
      <c r="J221" s="74">
        <f>IF(OR('Monthly Activity Log'!K152="In Progress",'Monthly Activity Log'!K152="Pending"),'Monthly Activity Log'!L152,"")</f>
        <v/>
      </c>
    </row>
    <row r="222" ht="15.75" customHeight="1" s="65">
      <c r="A222" s="70">
        <f>IF(OR('Monthly Activity Log'!K153="In Progress",'Monthly Activity Log'!K153="Pending"),'Monthly Activity Log'!H153,"")</f>
        <v/>
      </c>
      <c r="B222" s="70">
        <f>IF(OR('Monthly Activity Log'!K153="In Progress",'Monthly Activity Log'!K153="Pending"),'Monthly Activity Log'!C153,"")</f>
        <v/>
      </c>
      <c r="C222" s="70">
        <f>IF(OR('Monthly Activity Log'!K153="In Progress",'Monthly Activity Log'!K153="Pending"),'Monthly Activity Log'!E153,"")</f>
        <v/>
      </c>
      <c r="D222" s="70">
        <f>IF(OR('Monthly Activity Log'!K153="In Progress",'Monthly Activity Log'!K153="Pending"),'Monthly Activity Log'!F153,"")</f>
        <v/>
      </c>
      <c r="E222" s="70">
        <f>IF(OR('Monthly Activity Log'!K153="In Progress",'Monthly Activity Log'!K153="Pending"),'Monthly Activity Log'!G153,"")</f>
        <v/>
      </c>
      <c r="F222" s="70">
        <f>IF(OR('Monthly Activity Log'!K153="In Progress",'Monthly Activity Log'!K153="Pending"),'Monthly Activity Log'!I153,"")</f>
        <v/>
      </c>
      <c r="G222" s="70">
        <f>IF(OR('Monthly Activity Log'!K153="In Progress",'Monthly Activity Log'!K153="Pending"),'Monthly Activity Log'!J153,"")</f>
        <v/>
      </c>
      <c r="H222" s="70">
        <f>IF(OR('Monthly Activity Log'!K153="In Progress",'Monthly Activity Log'!K153="Pending"),'Monthly Activity Log'!K153,"")</f>
        <v/>
      </c>
      <c r="I222" s="70">
        <f>IF(OR('Monthly Activity Log'!K153="In Progress",'Monthly Activity Log'!K153="Pending"),'Monthly Activity Log'!B153,"")</f>
        <v/>
      </c>
      <c r="J222" s="70">
        <f>IF(OR('Monthly Activity Log'!K153="In Progress",'Monthly Activity Log'!K153="Pending"),'Monthly Activity Log'!L153,"")</f>
        <v/>
      </c>
    </row>
    <row r="223" ht="15.75" customHeight="1" s="65">
      <c r="A223" s="74">
        <f>IF(OR('Monthly Activity Log'!K154="In Progress",'Monthly Activity Log'!K154="Pending"),'Monthly Activity Log'!H154,"")</f>
        <v/>
      </c>
      <c r="B223" s="74">
        <f>IF(OR('Monthly Activity Log'!K154="In Progress",'Monthly Activity Log'!K154="Pending"),'Monthly Activity Log'!C154,"")</f>
        <v/>
      </c>
      <c r="C223" s="74">
        <f>IF(OR('Monthly Activity Log'!K154="In Progress",'Monthly Activity Log'!K154="Pending"),'Monthly Activity Log'!E154,"")</f>
        <v/>
      </c>
      <c r="D223" s="74">
        <f>IF(OR('Monthly Activity Log'!K154="In Progress",'Monthly Activity Log'!K154="Pending"),'Monthly Activity Log'!F154,"")</f>
        <v/>
      </c>
      <c r="E223" s="74">
        <f>IF(OR('Monthly Activity Log'!K154="In Progress",'Monthly Activity Log'!K154="Pending"),'Monthly Activity Log'!G154,"")</f>
        <v/>
      </c>
      <c r="F223" s="74">
        <f>IF(OR('Monthly Activity Log'!K154="In Progress",'Monthly Activity Log'!K154="Pending"),'Monthly Activity Log'!I154,"")</f>
        <v/>
      </c>
      <c r="G223" s="74">
        <f>IF(OR('Monthly Activity Log'!K154="In Progress",'Monthly Activity Log'!K154="Pending"),'Monthly Activity Log'!J154,"")</f>
        <v/>
      </c>
      <c r="H223" s="74">
        <f>IF(OR('Monthly Activity Log'!K154="In Progress",'Monthly Activity Log'!K154="Pending"),'Monthly Activity Log'!K154,"")</f>
        <v/>
      </c>
      <c r="I223" s="74">
        <f>IF(OR('Monthly Activity Log'!K154="In Progress",'Monthly Activity Log'!K154="Pending"),'Monthly Activity Log'!B154,"")</f>
        <v/>
      </c>
      <c r="J223" s="74">
        <f>IF(OR('Monthly Activity Log'!K154="In Progress",'Monthly Activity Log'!K154="Pending"),'Monthly Activity Log'!L154,"")</f>
        <v/>
      </c>
    </row>
    <row r="224" ht="15.75" customHeight="1" s="65">
      <c r="A224" s="70">
        <f>IF(OR('Monthly Activity Log'!K155="In Progress",'Monthly Activity Log'!K155="Pending"),'Monthly Activity Log'!H155,"")</f>
        <v/>
      </c>
      <c r="B224" s="70">
        <f>IF(OR('Monthly Activity Log'!K155="In Progress",'Monthly Activity Log'!K155="Pending"),'Monthly Activity Log'!C155,"")</f>
        <v/>
      </c>
      <c r="C224" s="70">
        <f>IF(OR('Monthly Activity Log'!K155="In Progress",'Monthly Activity Log'!K155="Pending"),'Monthly Activity Log'!E155,"")</f>
        <v/>
      </c>
      <c r="D224" s="70">
        <f>IF(OR('Monthly Activity Log'!K155="In Progress",'Monthly Activity Log'!K155="Pending"),'Monthly Activity Log'!F155,"")</f>
        <v/>
      </c>
      <c r="E224" s="70">
        <f>IF(OR('Monthly Activity Log'!K155="In Progress",'Monthly Activity Log'!K155="Pending"),'Monthly Activity Log'!G155,"")</f>
        <v/>
      </c>
      <c r="F224" s="70">
        <f>IF(OR('Monthly Activity Log'!K155="In Progress",'Monthly Activity Log'!K155="Pending"),'Monthly Activity Log'!I155,"")</f>
        <v/>
      </c>
      <c r="G224" s="70">
        <f>IF(OR('Monthly Activity Log'!K155="In Progress",'Monthly Activity Log'!K155="Pending"),'Monthly Activity Log'!J155,"")</f>
        <v/>
      </c>
      <c r="H224" s="70">
        <f>IF(OR('Monthly Activity Log'!K155="In Progress",'Monthly Activity Log'!K155="Pending"),'Monthly Activity Log'!K155,"")</f>
        <v/>
      </c>
      <c r="I224" s="70">
        <f>IF(OR('Monthly Activity Log'!K155="In Progress",'Monthly Activity Log'!K155="Pending"),'Monthly Activity Log'!B155,"")</f>
        <v/>
      </c>
      <c r="J224" s="70">
        <f>IF(OR('Monthly Activity Log'!K155="In Progress",'Monthly Activity Log'!K155="Pending"),'Monthly Activity Log'!L155,"")</f>
        <v/>
      </c>
    </row>
    <row r="225" ht="15.75" customHeight="1" s="65">
      <c r="A225" s="74">
        <f>IF(OR('Monthly Activity Log'!K156="In Progress",'Monthly Activity Log'!K156="Pending"),'Monthly Activity Log'!H156,"")</f>
        <v/>
      </c>
      <c r="B225" s="74">
        <f>IF(OR('Monthly Activity Log'!K156="In Progress",'Monthly Activity Log'!K156="Pending"),'Monthly Activity Log'!C156,"")</f>
        <v/>
      </c>
      <c r="C225" s="74">
        <f>IF(OR('Monthly Activity Log'!K156="In Progress",'Monthly Activity Log'!K156="Pending"),'Monthly Activity Log'!E156,"")</f>
        <v/>
      </c>
      <c r="D225" s="74">
        <f>IF(OR('Monthly Activity Log'!K156="In Progress",'Monthly Activity Log'!K156="Pending"),'Monthly Activity Log'!F156,"")</f>
        <v/>
      </c>
      <c r="E225" s="74">
        <f>IF(OR('Monthly Activity Log'!K156="In Progress",'Monthly Activity Log'!K156="Pending"),'Monthly Activity Log'!G156,"")</f>
        <v/>
      </c>
      <c r="F225" s="74">
        <f>IF(OR('Monthly Activity Log'!K156="In Progress",'Monthly Activity Log'!K156="Pending"),'Monthly Activity Log'!I156,"")</f>
        <v/>
      </c>
      <c r="G225" s="74">
        <f>IF(OR('Monthly Activity Log'!K156="In Progress",'Monthly Activity Log'!K156="Pending"),'Monthly Activity Log'!J156,"")</f>
        <v/>
      </c>
      <c r="H225" s="74">
        <f>IF(OR('Monthly Activity Log'!K156="In Progress",'Monthly Activity Log'!K156="Pending"),'Monthly Activity Log'!K156,"")</f>
        <v/>
      </c>
      <c r="I225" s="74">
        <f>IF(OR('Monthly Activity Log'!K156="In Progress",'Monthly Activity Log'!K156="Pending"),'Monthly Activity Log'!B156,"")</f>
        <v/>
      </c>
      <c r="J225" s="74">
        <f>IF(OR('Monthly Activity Log'!K156="In Progress",'Monthly Activity Log'!K156="Pending"),'Monthly Activity Log'!L156,"")</f>
        <v/>
      </c>
    </row>
    <row r="226" ht="15.75" customHeight="1" s="65">
      <c r="A226" s="70">
        <f>IF(OR('Monthly Activity Log'!K157="In Progress",'Monthly Activity Log'!K157="Pending"),'Monthly Activity Log'!H157,"")</f>
        <v/>
      </c>
      <c r="B226" s="70">
        <f>IF(OR('Monthly Activity Log'!K157="In Progress",'Monthly Activity Log'!K157="Pending"),'Monthly Activity Log'!C157,"")</f>
        <v/>
      </c>
      <c r="C226" s="70">
        <f>IF(OR('Monthly Activity Log'!K157="In Progress",'Monthly Activity Log'!K157="Pending"),'Monthly Activity Log'!E157,"")</f>
        <v/>
      </c>
      <c r="D226" s="70">
        <f>IF(OR('Monthly Activity Log'!K157="In Progress",'Monthly Activity Log'!K157="Pending"),'Monthly Activity Log'!F157,"")</f>
        <v/>
      </c>
      <c r="E226" s="70">
        <f>IF(OR('Monthly Activity Log'!K157="In Progress",'Monthly Activity Log'!K157="Pending"),'Monthly Activity Log'!G157,"")</f>
        <v/>
      </c>
      <c r="F226" s="70">
        <f>IF(OR('Monthly Activity Log'!K157="In Progress",'Monthly Activity Log'!K157="Pending"),'Monthly Activity Log'!I157,"")</f>
        <v/>
      </c>
      <c r="G226" s="70">
        <f>IF(OR('Monthly Activity Log'!K157="In Progress",'Monthly Activity Log'!K157="Pending"),'Monthly Activity Log'!J157,"")</f>
        <v/>
      </c>
      <c r="H226" s="70">
        <f>IF(OR('Monthly Activity Log'!K157="In Progress",'Monthly Activity Log'!K157="Pending"),'Monthly Activity Log'!K157,"")</f>
        <v/>
      </c>
      <c r="I226" s="70">
        <f>IF(OR('Monthly Activity Log'!K157="In Progress",'Monthly Activity Log'!K157="Pending"),'Monthly Activity Log'!B157,"")</f>
        <v/>
      </c>
      <c r="J226" s="70">
        <f>IF(OR('Monthly Activity Log'!K157="In Progress",'Monthly Activity Log'!K157="Pending"),'Monthly Activity Log'!L157,"")</f>
        <v/>
      </c>
    </row>
    <row r="227" ht="15.75" customHeight="1" s="65">
      <c r="A227" s="74">
        <f>IF(OR('Monthly Activity Log'!K158="In Progress",'Monthly Activity Log'!K158="Pending"),'Monthly Activity Log'!H158,"")</f>
        <v/>
      </c>
      <c r="B227" s="74">
        <f>IF(OR('Monthly Activity Log'!K158="In Progress",'Monthly Activity Log'!K158="Pending"),'Monthly Activity Log'!C158,"")</f>
        <v/>
      </c>
      <c r="C227" s="74">
        <f>IF(OR('Monthly Activity Log'!K158="In Progress",'Monthly Activity Log'!K158="Pending"),'Monthly Activity Log'!E158,"")</f>
        <v/>
      </c>
      <c r="D227" s="74">
        <f>IF(OR('Monthly Activity Log'!K158="In Progress",'Monthly Activity Log'!K158="Pending"),'Monthly Activity Log'!F158,"")</f>
        <v/>
      </c>
      <c r="E227" s="74">
        <f>IF(OR('Monthly Activity Log'!K158="In Progress",'Monthly Activity Log'!K158="Pending"),'Monthly Activity Log'!G158,"")</f>
        <v/>
      </c>
      <c r="F227" s="74">
        <f>IF(OR('Monthly Activity Log'!K158="In Progress",'Monthly Activity Log'!K158="Pending"),'Monthly Activity Log'!I158,"")</f>
        <v/>
      </c>
      <c r="G227" s="74">
        <f>IF(OR('Monthly Activity Log'!K158="In Progress",'Monthly Activity Log'!K158="Pending"),'Monthly Activity Log'!J158,"")</f>
        <v/>
      </c>
      <c r="H227" s="74">
        <f>IF(OR('Monthly Activity Log'!K158="In Progress",'Monthly Activity Log'!K158="Pending"),'Monthly Activity Log'!K158,"")</f>
        <v/>
      </c>
      <c r="I227" s="74">
        <f>IF(OR('Monthly Activity Log'!K158="In Progress",'Monthly Activity Log'!K158="Pending"),'Monthly Activity Log'!B158,"")</f>
        <v/>
      </c>
      <c r="J227" s="74">
        <f>IF(OR('Monthly Activity Log'!K158="In Progress",'Monthly Activity Log'!K158="Pending"),'Monthly Activity Log'!L158,"")</f>
        <v/>
      </c>
    </row>
    <row r="228" ht="15.75" customHeight="1" s="65">
      <c r="A228" s="70">
        <f>IF(OR('Monthly Activity Log'!K159="In Progress",'Monthly Activity Log'!K159="Pending"),'Monthly Activity Log'!H159,"")</f>
        <v/>
      </c>
      <c r="B228" s="70">
        <f>IF(OR('Monthly Activity Log'!K159="In Progress",'Monthly Activity Log'!K159="Pending"),'Monthly Activity Log'!C159,"")</f>
        <v/>
      </c>
      <c r="C228" s="70">
        <f>IF(OR('Monthly Activity Log'!K159="In Progress",'Monthly Activity Log'!K159="Pending"),'Monthly Activity Log'!E159,"")</f>
        <v/>
      </c>
      <c r="D228" s="70">
        <f>IF(OR('Monthly Activity Log'!K159="In Progress",'Monthly Activity Log'!K159="Pending"),'Monthly Activity Log'!F159,"")</f>
        <v/>
      </c>
      <c r="E228" s="70">
        <f>IF(OR('Monthly Activity Log'!K159="In Progress",'Monthly Activity Log'!K159="Pending"),'Monthly Activity Log'!G159,"")</f>
        <v/>
      </c>
      <c r="F228" s="70">
        <f>IF(OR('Monthly Activity Log'!K159="In Progress",'Monthly Activity Log'!K159="Pending"),'Monthly Activity Log'!I159,"")</f>
        <v/>
      </c>
      <c r="G228" s="70">
        <f>IF(OR('Monthly Activity Log'!K159="In Progress",'Monthly Activity Log'!K159="Pending"),'Monthly Activity Log'!J159,"")</f>
        <v/>
      </c>
      <c r="H228" s="70">
        <f>IF(OR('Monthly Activity Log'!K159="In Progress",'Monthly Activity Log'!K159="Pending"),'Monthly Activity Log'!K159,"")</f>
        <v/>
      </c>
      <c r="I228" s="70">
        <f>IF(OR('Monthly Activity Log'!K159="In Progress",'Monthly Activity Log'!K159="Pending"),'Monthly Activity Log'!B159,"")</f>
        <v/>
      </c>
      <c r="J228" s="70">
        <f>IF(OR('Monthly Activity Log'!K159="In Progress",'Monthly Activity Log'!K159="Pending"),'Monthly Activity Log'!L159,"")</f>
        <v/>
      </c>
    </row>
    <row r="229" ht="15.75" customHeight="1" s="65">
      <c r="A229" s="74">
        <f>IF(OR('Monthly Activity Log'!K160="In Progress",'Monthly Activity Log'!K160="Pending"),'Monthly Activity Log'!H160,"")</f>
        <v/>
      </c>
      <c r="B229" s="74">
        <f>IF(OR('Monthly Activity Log'!K160="In Progress",'Monthly Activity Log'!K160="Pending"),'Monthly Activity Log'!C160,"")</f>
        <v/>
      </c>
      <c r="C229" s="74">
        <f>IF(OR('Monthly Activity Log'!K160="In Progress",'Monthly Activity Log'!K160="Pending"),'Monthly Activity Log'!E160,"")</f>
        <v/>
      </c>
      <c r="D229" s="74">
        <f>IF(OR('Monthly Activity Log'!K160="In Progress",'Monthly Activity Log'!K160="Pending"),'Monthly Activity Log'!F160,"")</f>
        <v/>
      </c>
      <c r="E229" s="74">
        <f>IF(OR('Monthly Activity Log'!K160="In Progress",'Monthly Activity Log'!K160="Pending"),'Monthly Activity Log'!G160,"")</f>
        <v/>
      </c>
      <c r="F229" s="74">
        <f>IF(OR('Monthly Activity Log'!K160="In Progress",'Monthly Activity Log'!K160="Pending"),'Monthly Activity Log'!I160,"")</f>
        <v/>
      </c>
      <c r="G229" s="74">
        <f>IF(OR('Monthly Activity Log'!K160="In Progress",'Monthly Activity Log'!K160="Pending"),'Monthly Activity Log'!J160,"")</f>
        <v/>
      </c>
      <c r="H229" s="74">
        <f>IF(OR('Monthly Activity Log'!K160="In Progress",'Monthly Activity Log'!K160="Pending"),'Monthly Activity Log'!K160,"")</f>
        <v/>
      </c>
      <c r="I229" s="74">
        <f>IF(OR('Monthly Activity Log'!K160="In Progress",'Monthly Activity Log'!K160="Pending"),'Monthly Activity Log'!B160,"")</f>
        <v/>
      </c>
      <c r="J229" s="74">
        <f>IF(OR('Monthly Activity Log'!K160="In Progress",'Monthly Activity Log'!K160="Pending"),'Monthly Activity Log'!L160,"")</f>
        <v/>
      </c>
    </row>
    <row r="230" ht="15.75" customHeight="1" s="65">
      <c r="A230" s="70">
        <f>IF(OR('Monthly Activity Log'!K161="In Progress",'Monthly Activity Log'!K161="Pending"),'Monthly Activity Log'!H161,"")</f>
        <v/>
      </c>
      <c r="B230" s="70">
        <f>IF(OR('Monthly Activity Log'!K161="In Progress",'Monthly Activity Log'!K161="Pending"),'Monthly Activity Log'!C161,"")</f>
        <v/>
      </c>
      <c r="C230" s="70">
        <f>IF(OR('Monthly Activity Log'!K161="In Progress",'Monthly Activity Log'!K161="Pending"),'Monthly Activity Log'!E161,"")</f>
        <v/>
      </c>
      <c r="D230" s="70">
        <f>IF(OR('Monthly Activity Log'!K161="In Progress",'Monthly Activity Log'!K161="Pending"),'Monthly Activity Log'!F161,"")</f>
        <v/>
      </c>
      <c r="E230" s="70">
        <f>IF(OR('Monthly Activity Log'!K161="In Progress",'Monthly Activity Log'!K161="Pending"),'Monthly Activity Log'!G161,"")</f>
        <v/>
      </c>
      <c r="F230" s="70">
        <f>IF(OR('Monthly Activity Log'!K161="In Progress",'Monthly Activity Log'!K161="Pending"),'Monthly Activity Log'!I161,"")</f>
        <v/>
      </c>
      <c r="G230" s="70">
        <f>IF(OR('Monthly Activity Log'!K161="In Progress",'Monthly Activity Log'!K161="Pending"),'Monthly Activity Log'!J161,"")</f>
        <v/>
      </c>
      <c r="H230" s="70">
        <f>IF(OR('Monthly Activity Log'!K161="In Progress",'Monthly Activity Log'!K161="Pending"),'Monthly Activity Log'!K161,"")</f>
        <v/>
      </c>
      <c r="I230" s="70">
        <f>IF(OR('Monthly Activity Log'!K161="In Progress",'Monthly Activity Log'!K161="Pending"),'Monthly Activity Log'!B161,"")</f>
        <v/>
      </c>
      <c r="J230" s="70">
        <f>IF(OR('Monthly Activity Log'!K161="In Progress",'Monthly Activity Log'!K161="Pending"),'Monthly Activity Log'!L161,"")</f>
        <v/>
      </c>
    </row>
    <row r="231" ht="15.75" customHeight="1" s="65">
      <c r="A231" s="74">
        <f>IF(OR('Monthly Activity Log'!K162="In Progress",'Monthly Activity Log'!K162="Pending"),'Monthly Activity Log'!H162,"")</f>
        <v/>
      </c>
      <c r="B231" s="74">
        <f>IF(OR('Monthly Activity Log'!K162="In Progress",'Monthly Activity Log'!K162="Pending"),'Monthly Activity Log'!C162,"")</f>
        <v/>
      </c>
      <c r="C231" s="74">
        <f>IF(OR('Monthly Activity Log'!K162="In Progress",'Monthly Activity Log'!K162="Pending"),'Monthly Activity Log'!E162,"")</f>
        <v/>
      </c>
      <c r="D231" s="74">
        <f>IF(OR('Monthly Activity Log'!K162="In Progress",'Monthly Activity Log'!K162="Pending"),'Monthly Activity Log'!F162,"")</f>
        <v/>
      </c>
      <c r="E231" s="74">
        <f>IF(OR('Monthly Activity Log'!K162="In Progress",'Monthly Activity Log'!K162="Pending"),'Monthly Activity Log'!G162,"")</f>
        <v/>
      </c>
      <c r="F231" s="74">
        <f>IF(OR('Monthly Activity Log'!K162="In Progress",'Monthly Activity Log'!K162="Pending"),'Monthly Activity Log'!I162,"")</f>
        <v/>
      </c>
      <c r="G231" s="74">
        <f>IF(OR('Monthly Activity Log'!K162="In Progress",'Monthly Activity Log'!K162="Pending"),'Monthly Activity Log'!J162,"")</f>
        <v/>
      </c>
      <c r="H231" s="74">
        <f>IF(OR('Monthly Activity Log'!K162="In Progress",'Monthly Activity Log'!K162="Pending"),'Monthly Activity Log'!K162,"")</f>
        <v/>
      </c>
      <c r="I231" s="74">
        <f>IF(OR('Monthly Activity Log'!K162="In Progress",'Monthly Activity Log'!K162="Pending"),'Monthly Activity Log'!B162,"")</f>
        <v/>
      </c>
      <c r="J231" s="74">
        <f>IF(OR('Monthly Activity Log'!K162="In Progress",'Monthly Activity Log'!K162="Pending"),'Monthly Activity Log'!L162,"")</f>
        <v/>
      </c>
    </row>
    <row r="232" ht="15.75" customHeight="1" s="65">
      <c r="A232" s="70">
        <f>IF(OR('Monthly Activity Log'!K163="In Progress",'Monthly Activity Log'!K163="Pending"),'Monthly Activity Log'!H163,"")</f>
        <v/>
      </c>
      <c r="B232" s="70">
        <f>IF(OR('Monthly Activity Log'!K163="In Progress",'Monthly Activity Log'!K163="Pending"),'Monthly Activity Log'!C163,"")</f>
        <v/>
      </c>
      <c r="C232" s="70">
        <f>IF(OR('Monthly Activity Log'!K163="In Progress",'Monthly Activity Log'!K163="Pending"),'Monthly Activity Log'!E163,"")</f>
        <v/>
      </c>
      <c r="D232" s="70">
        <f>IF(OR('Monthly Activity Log'!K163="In Progress",'Monthly Activity Log'!K163="Pending"),'Monthly Activity Log'!F163,"")</f>
        <v/>
      </c>
      <c r="E232" s="70">
        <f>IF(OR('Monthly Activity Log'!K163="In Progress",'Monthly Activity Log'!K163="Pending"),'Monthly Activity Log'!G163,"")</f>
        <v/>
      </c>
      <c r="F232" s="70">
        <f>IF(OR('Monthly Activity Log'!K163="In Progress",'Monthly Activity Log'!K163="Pending"),'Monthly Activity Log'!I163,"")</f>
        <v/>
      </c>
      <c r="G232" s="70">
        <f>IF(OR('Monthly Activity Log'!K163="In Progress",'Monthly Activity Log'!K163="Pending"),'Monthly Activity Log'!J163,"")</f>
        <v/>
      </c>
      <c r="H232" s="70">
        <f>IF(OR('Monthly Activity Log'!K163="In Progress",'Monthly Activity Log'!K163="Pending"),'Monthly Activity Log'!K163,"")</f>
        <v/>
      </c>
      <c r="I232" s="70">
        <f>IF(OR('Monthly Activity Log'!K163="In Progress",'Monthly Activity Log'!K163="Pending"),'Monthly Activity Log'!B163,"")</f>
        <v/>
      </c>
      <c r="J232" s="70">
        <f>IF(OR('Monthly Activity Log'!K163="In Progress",'Monthly Activity Log'!K163="Pending"),'Monthly Activity Log'!L163,"")</f>
        <v/>
      </c>
    </row>
    <row r="233" ht="15.75" customHeight="1" s="65">
      <c r="A233" s="74">
        <f>IF(OR('Monthly Activity Log'!K164="In Progress",'Monthly Activity Log'!K164="Pending"),'Monthly Activity Log'!H164,"")</f>
        <v/>
      </c>
      <c r="B233" s="74">
        <f>IF(OR('Monthly Activity Log'!K164="In Progress",'Monthly Activity Log'!K164="Pending"),'Monthly Activity Log'!C164,"")</f>
        <v/>
      </c>
      <c r="C233" s="74">
        <f>IF(OR('Monthly Activity Log'!K164="In Progress",'Monthly Activity Log'!K164="Pending"),'Monthly Activity Log'!E164,"")</f>
        <v/>
      </c>
      <c r="D233" s="74">
        <f>IF(OR('Monthly Activity Log'!K164="In Progress",'Monthly Activity Log'!K164="Pending"),'Monthly Activity Log'!F164,"")</f>
        <v/>
      </c>
      <c r="E233" s="74">
        <f>IF(OR('Monthly Activity Log'!K164="In Progress",'Monthly Activity Log'!K164="Pending"),'Monthly Activity Log'!G164,"")</f>
        <v/>
      </c>
      <c r="F233" s="74">
        <f>IF(OR('Monthly Activity Log'!K164="In Progress",'Monthly Activity Log'!K164="Pending"),'Monthly Activity Log'!I164,"")</f>
        <v/>
      </c>
      <c r="G233" s="74">
        <f>IF(OR('Monthly Activity Log'!K164="In Progress",'Monthly Activity Log'!K164="Pending"),'Monthly Activity Log'!J164,"")</f>
        <v/>
      </c>
      <c r="H233" s="74">
        <f>IF(OR('Monthly Activity Log'!K164="In Progress",'Monthly Activity Log'!K164="Pending"),'Monthly Activity Log'!K164,"")</f>
        <v/>
      </c>
      <c r="I233" s="74">
        <f>IF(OR('Monthly Activity Log'!K164="In Progress",'Monthly Activity Log'!K164="Pending"),'Monthly Activity Log'!B164,"")</f>
        <v/>
      </c>
      <c r="J233" s="74">
        <f>IF(OR('Monthly Activity Log'!K164="In Progress",'Monthly Activity Log'!K164="Pending"),'Monthly Activity Log'!L164,"")</f>
        <v/>
      </c>
    </row>
    <row r="234" ht="15.75" customHeight="1" s="65">
      <c r="A234" s="70">
        <f>IF(OR('Monthly Activity Log'!K165="In Progress",'Monthly Activity Log'!K165="Pending"),'Monthly Activity Log'!H165,"")</f>
        <v/>
      </c>
      <c r="B234" s="70">
        <f>IF(OR('Monthly Activity Log'!K165="In Progress",'Monthly Activity Log'!K165="Pending"),'Monthly Activity Log'!C165,"")</f>
        <v/>
      </c>
      <c r="C234" s="70">
        <f>IF(OR('Monthly Activity Log'!K165="In Progress",'Monthly Activity Log'!K165="Pending"),'Monthly Activity Log'!E165,"")</f>
        <v/>
      </c>
      <c r="D234" s="70">
        <f>IF(OR('Monthly Activity Log'!K165="In Progress",'Monthly Activity Log'!K165="Pending"),'Monthly Activity Log'!F165,"")</f>
        <v/>
      </c>
      <c r="E234" s="70">
        <f>IF(OR('Monthly Activity Log'!K165="In Progress",'Monthly Activity Log'!K165="Pending"),'Monthly Activity Log'!G165,"")</f>
        <v/>
      </c>
      <c r="F234" s="70">
        <f>IF(OR('Monthly Activity Log'!K165="In Progress",'Monthly Activity Log'!K165="Pending"),'Monthly Activity Log'!I165,"")</f>
        <v/>
      </c>
      <c r="G234" s="70">
        <f>IF(OR('Monthly Activity Log'!K165="In Progress",'Monthly Activity Log'!K165="Pending"),'Monthly Activity Log'!J165,"")</f>
        <v/>
      </c>
      <c r="H234" s="70">
        <f>IF(OR('Monthly Activity Log'!K165="In Progress",'Monthly Activity Log'!K165="Pending"),'Monthly Activity Log'!K165,"")</f>
        <v/>
      </c>
      <c r="I234" s="70">
        <f>IF(OR('Monthly Activity Log'!K165="In Progress",'Monthly Activity Log'!K165="Pending"),'Monthly Activity Log'!B165,"")</f>
        <v/>
      </c>
      <c r="J234" s="70">
        <f>IF(OR('Monthly Activity Log'!K165="In Progress",'Monthly Activity Log'!K165="Pending"),'Monthly Activity Log'!L165,"")</f>
        <v/>
      </c>
    </row>
    <row r="235" ht="15.75" customHeight="1" s="65">
      <c r="A235" s="74">
        <f>IF(OR('Monthly Activity Log'!K166="In Progress",'Monthly Activity Log'!K166="Pending"),'Monthly Activity Log'!H166,"")</f>
        <v/>
      </c>
      <c r="B235" s="74">
        <f>IF(OR('Monthly Activity Log'!K166="In Progress",'Monthly Activity Log'!K166="Pending"),'Monthly Activity Log'!C166,"")</f>
        <v/>
      </c>
      <c r="C235" s="74">
        <f>IF(OR('Monthly Activity Log'!K166="In Progress",'Monthly Activity Log'!K166="Pending"),'Monthly Activity Log'!E166,"")</f>
        <v/>
      </c>
      <c r="D235" s="74">
        <f>IF(OR('Monthly Activity Log'!K166="In Progress",'Monthly Activity Log'!K166="Pending"),'Monthly Activity Log'!F166,"")</f>
        <v/>
      </c>
      <c r="E235" s="74">
        <f>IF(OR('Monthly Activity Log'!K166="In Progress",'Monthly Activity Log'!K166="Pending"),'Monthly Activity Log'!G166,"")</f>
        <v/>
      </c>
      <c r="F235" s="74">
        <f>IF(OR('Monthly Activity Log'!K166="In Progress",'Monthly Activity Log'!K166="Pending"),'Monthly Activity Log'!I166,"")</f>
        <v/>
      </c>
      <c r="G235" s="74">
        <f>IF(OR('Monthly Activity Log'!K166="In Progress",'Monthly Activity Log'!K166="Pending"),'Monthly Activity Log'!J166,"")</f>
        <v/>
      </c>
      <c r="H235" s="74">
        <f>IF(OR('Monthly Activity Log'!K166="In Progress",'Monthly Activity Log'!K166="Pending"),'Monthly Activity Log'!K166,"")</f>
        <v/>
      </c>
      <c r="I235" s="74">
        <f>IF(OR('Monthly Activity Log'!K166="In Progress",'Monthly Activity Log'!K166="Pending"),'Monthly Activity Log'!B166,"")</f>
        <v/>
      </c>
      <c r="J235" s="74">
        <f>IF(OR('Monthly Activity Log'!K166="In Progress",'Monthly Activity Log'!K166="Pending"),'Monthly Activity Log'!L166,"")</f>
        <v/>
      </c>
    </row>
    <row r="236" ht="15.75" customHeight="1" s="65">
      <c r="A236" s="70">
        <f>IF(OR('Monthly Activity Log'!K167="In Progress",'Monthly Activity Log'!K167="Pending"),'Monthly Activity Log'!H167,"")</f>
        <v/>
      </c>
      <c r="B236" s="70">
        <f>IF(OR('Monthly Activity Log'!K167="In Progress",'Monthly Activity Log'!K167="Pending"),'Monthly Activity Log'!C167,"")</f>
        <v/>
      </c>
      <c r="C236" s="70">
        <f>IF(OR('Monthly Activity Log'!K167="In Progress",'Monthly Activity Log'!K167="Pending"),'Monthly Activity Log'!E167,"")</f>
        <v/>
      </c>
      <c r="D236" s="70">
        <f>IF(OR('Monthly Activity Log'!K167="In Progress",'Monthly Activity Log'!K167="Pending"),'Monthly Activity Log'!F167,"")</f>
        <v/>
      </c>
      <c r="E236" s="70">
        <f>IF(OR('Monthly Activity Log'!K167="In Progress",'Monthly Activity Log'!K167="Pending"),'Monthly Activity Log'!G167,"")</f>
        <v/>
      </c>
      <c r="F236" s="70">
        <f>IF(OR('Monthly Activity Log'!K167="In Progress",'Monthly Activity Log'!K167="Pending"),'Monthly Activity Log'!I167,"")</f>
        <v/>
      </c>
      <c r="G236" s="70">
        <f>IF(OR('Monthly Activity Log'!K167="In Progress",'Monthly Activity Log'!K167="Pending"),'Monthly Activity Log'!J167,"")</f>
        <v/>
      </c>
      <c r="H236" s="70">
        <f>IF(OR('Monthly Activity Log'!K167="In Progress",'Monthly Activity Log'!K167="Pending"),'Monthly Activity Log'!K167,"")</f>
        <v/>
      </c>
      <c r="I236" s="70">
        <f>IF(OR('Monthly Activity Log'!K167="In Progress",'Monthly Activity Log'!K167="Pending"),'Monthly Activity Log'!B167,"")</f>
        <v/>
      </c>
      <c r="J236" s="70">
        <f>IF(OR('Monthly Activity Log'!K167="In Progress",'Monthly Activity Log'!K167="Pending"),'Monthly Activity Log'!L167,"")</f>
        <v/>
      </c>
    </row>
    <row r="237" ht="15.75" customHeight="1" s="65">
      <c r="A237" s="74">
        <f>IF(OR('Monthly Activity Log'!K168="In Progress",'Monthly Activity Log'!K168="Pending"),'Monthly Activity Log'!H168,"")</f>
        <v/>
      </c>
      <c r="B237" s="74">
        <f>IF(OR('Monthly Activity Log'!K168="In Progress",'Monthly Activity Log'!K168="Pending"),'Monthly Activity Log'!C168,"")</f>
        <v/>
      </c>
      <c r="C237" s="74">
        <f>IF(OR('Monthly Activity Log'!K168="In Progress",'Monthly Activity Log'!K168="Pending"),'Monthly Activity Log'!E168,"")</f>
        <v/>
      </c>
      <c r="D237" s="74">
        <f>IF(OR('Monthly Activity Log'!K168="In Progress",'Monthly Activity Log'!K168="Pending"),'Monthly Activity Log'!F168,"")</f>
        <v/>
      </c>
      <c r="E237" s="74">
        <f>IF(OR('Monthly Activity Log'!K168="In Progress",'Monthly Activity Log'!K168="Pending"),'Monthly Activity Log'!G168,"")</f>
        <v/>
      </c>
      <c r="F237" s="74">
        <f>IF(OR('Monthly Activity Log'!K168="In Progress",'Monthly Activity Log'!K168="Pending"),'Monthly Activity Log'!I168,"")</f>
        <v/>
      </c>
      <c r="G237" s="74">
        <f>IF(OR('Monthly Activity Log'!K168="In Progress",'Monthly Activity Log'!K168="Pending"),'Monthly Activity Log'!J168,"")</f>
        <v/>
      </c>
      <c r="H237" s="74">
        <f>IF(OR('Monthly Activity Log'!K168="In Progress",'Monthly Activity Log'!K168="Pending"),'Monthly Activity Log'!K168,"")</f>
        <v/>
      </c>
      <c r="I237" s="74">
        <f>IF(OR('Monthly Activity Log'!K168="In Progress",'Monthly Activity Log'!K168="Pending"),'Monthly Activity Log'!B168,"")</f>
        <v/>
      </c>
      <c r="J237" s="74">
        <f>IF(OR('Monthly Activity Log'!K168="In Progress",'Monthly Activity Log'!K168="Pending"),'Monthly Activity Log'!L168,"")</f>
        <v/>
      </c>
    </row>
    <row r="238" ht="15.75" customHeight="1" s="65">
      <c r="A238" s="70">
        <f>IF(OR('Monthly Activity Log'!K169="In Progress",'Monthly Activity Log'!K169="Pending"),'Monthly Activity Log'!H169,"")</f>
        <v/>
      </c>
      <c r="B238" s="70">
        <f>IF(OR('Monthly Activity Log'!K169="In Progress",'Monthly Activity Log'!K169="Pending"),'Monthly Activity Log'!C169,"")</f>
        <v/>
      </c>
      <c r="C238" s="70">
        <f>IF(OR('Monthly Activity Log'!K169="In Progress",'Monthly Activity Log'!K169="Pending"),'Monthly Activity Log'!E169,"")</f>
        <v/>
      </c>
      <c r="D238" s="70">
        <f>IF(OR('Monthly Activity Log'!K169="In Progress",'Monthly Activity Log'!K169="Pending"),'Monthly Activity Log'!F169,"")</f>
        <v/>
      </c>
      <c r="E238" s="70">
        <f>IF(OR('Monthly Activity Log'!K169="In Progress",'Monthly Activity Log'!K169="Pending"),'Monthly Activity Log'!G169,"")</f>
        <v/>
      </c>
      <c r="F238" s="70">
        <f>IF(OR('Monthly Activity Log'!K169="In Progress",'Monthly Activity Log'!K169="Pending"),'Monthly Activity Log'!I169,"")</f>
        <v/>
      </c>
      <c r="G238" s="70">
        <f>IF(OR('Monthly Activity Log'!K169="In Progress",'Monthly Activity Log'!K169="Pending"),'Monthly Activity Log'!J169,"")</f>
        <v/>
      </c>
      <c r="H238" s="70">
        <f>IF(OR('Monthly Activity Log'!K169="In Progress",'Monthly Activity Log'!K169="Pending"),'Monthly Activity Log'!K169,"")</f>
        <v/>
      </c>
      <c r="I238" s="70">
        <f>IF(OR('Monthly Activity Log'!K169="In Progress",'Monthly Activity Log'!K169="Pending"),'Monthly Activity Log'!B169,"")</f>
        <v/>
      </c>
      <c r="J238" s="70">
        <f>IF(OR('Monthly Activity Log'!K169="In Progress",'Monthly Activity Log'!K169="Pending"),'Monthly Activity Log'!L169,"")</f>
        <v/>
      </c>
    </row>
    <row r="239" ht="15.75" customHeight="1" s="65">
      <c r="A239" s="74">
        <f>IF(OR('Monthly Activity Log'!K170="In Progress",'Monthly Activity Log'!K170="Pending"),'Monthly Activity Log'!H170,"")</f>
        <v/>
      </c>
      <c r="B239" s="74">
        <f>IF(OR('Monthly Activity Log'!K170="In Progress",'Monthly Activity Log'!K170="Pending"),'Monthly Activity Log'!C170,"")</f>
        <v/>
      </c>
      <c r="C239" s="74">
        <f>IF(OR('Monthly Activity Log'!K170="In Progress",'Monthly Activity Log'!K170="Pending"),'Monthly Activity Log'!E170,"")</f>
        <v/>
      </c>
      <c r="D239" s="74">
        <f>IF(OR('Monthly Activity Log'!K170="In Progress",'Monthly Activity Log'!K170="Pending"),'Monthly Activity Log'!F170,"")</f>
        <v/>
      </c>
      <c r="E239" s="74">
        <f>IF(OR('Monthly Activity Log'!K170="In Progress",'Monthly Activity Log'!K170="Pending"),'Monthly Activity Log'!G170,"")</f>
        <v/>
      </c>
      <c r="F239" s="74">
        <f>IF(OR('Monthly Activity Log'!K170="In Progress",'Monthly Activity Log'!K170="Pending"),'Monthly Activity Log'!I170,"")</f>
        <v/>
      </c>
      <c r="G239" s="74">
        <f>IF(OR('Monthly Activity Log'!K170="In Progress",'Monthly Activity Log'!K170="Pending"),'Monthly Activity Log'!J170,"")</f>
        <v/>
      </c>
      <c r="H239" s="74">
        <f>IF(OR('Monthly Activity Log'!K170="In Progress",'Monthly Activity Log'!K170="Pending"),'Monthly Activity Log'!K170,"")</f>
        <v/>
      </c>
      <c r="I239" s="74">
        <f>IF(OR('Monthly Activity Log'!K170="In Progress",'Monthly Activity Log'!K170="Pending"),'Monthly Activity Log'!B170,"")</f>
        <v/>
      </c>
      <c r="J239" s="74">
        <f>IF(OR('Monthly Activity Log'!K170="In Progress",'Monthly Activity Log'!K170="Pending"),'Monthly Activity Log'!L170,"")</f>
        <v/>
      </c>
    </row>
    <row r="240" ht="15.75" customHeight="1" s="65">
      <c r="A240" s="70">
        <f>IF(OR('Monthly Activity Log'!K171="In Progress",'Monthly Activity Log'!K171="Pending"),'Monthly Activity Log'!H171,"")</f>
        <v/>
      </c>
      <c r="B240" s="70">
        <f>IF(OR('Monthly Activity Log'!K171="In Progress",'Monthly Activity Log'!K171="Pending"),'Monthly Activity Log'!C171,"")</f>
        <v/>
      </c>
      <c r="C240" s="70">
        <f>IF(OR('Monthly Activity Log'!K171="In Progress",'Monthly Activity Log'!K171="Pending"),'Monthly Activity Log'!E171,"")</f>
        <v/>
      </c>
      <c r="D240" s="70">
        <f>IF(OR('Monthly Activity Log'!K171="In Progress",'Monthly Activity Log'!K171="Pending"),'Monthly Activity Log'!F171,"")</f>
        <v/>
      </c>
      <c r="E240" s="70">
        <f>IF(OR('Monthly Activity Log'!K171="In Progress",'Monthly Activity Log'!K171="Pending"),'Monthly Activity Log'!G171,"")</f>
        <v/>
      </c>
      <c r="F240" s="70">
        <f>IF(OR('Monthly Activity Log'!K171="In Progress",'Monthly Activity Log'!K171="Pending"),'Monthly Activity Log'!I171,"")</f>
        <v/>
      </c>
      <c r="G240" s="70">
        <f>IF(OR('Monthly Activity Log'!K171="In Progress",'Monthly Activity Log'!K171="Pending"),'Monthly Activity Log'!J171,"")</f>
        <v/>
      </c>
      <c r="H240" s="70">
        <f>IF(OR('Monthly Activity Log'!K171="In Progress",'Monthly Activity Log'!K171="Pending"),'Monthly Activity Log'!K171,"")</f>
        <v/>
      </c>
      <c r="I240" s="70">
        <f>IF(OR('Monthly Activity Log'!K171="In Progress",'Monthly Activity Log'!K171="Pending"),'Monthly Activity Log'!B171,"")</f>
        <v/>
      </c>
      <c r="J240" s="70">
        <f>IF(OR('Monthly Activity Log'!K171="In Progress",'Monthly Activity Log'!K171="Pending"),'Monthly Activity Log'!L171,"")</f>
        <v/>
      </c>
    </row>
    <row r="241" ht="15.75" customHeight="1" s="65">
      <c r="A241" s="74">
        <f>IF(OR('Monthly Activity Log'!K172="In Progress",'Monthly Activity Log'!K172="Pending"),'Monthly Activity Log'!H172,"")</f>
        <v/>
      </c>
      <c r="B241" s="74">
        <f>IF(OR('Monthly Activity Log'!K172="In Progress",'Monthly Activity Log'!K172="Pending"),'Monthly Activity Log'!C172,"")</f>
        <v/>
      </c>
      <c r="C241" s="74">
        <f>IF(OR('Monthly Activity Log'!K172="In Progress",'Monthly Activity Log'!K172="Pending"),'Monthly Activity Log'!E172,"")</f>
        <v/>
      </c>
      <c r="D241" s="74">
        <f>IF(OR('Monthly Activity Log'!K172="In Progress",'Monthly Activity Log'!K172="Pending"),'Monthly Activity Log'!F172,"")</f>
        <v/>
      </c>
      <c r="E241" s="74">
        <f>IF(OR('Monthly Activity Log'!K172="In Progress",'Monthly Activity Log'!K172="Pending"),'Monthly Activity Log'!G172,"")</f>
        <v/>
      </c>
      <c r="F241" s="74">
        <f>IF(OR('Monthly Activity Log'!K172="In Progress",'Monthly Activity Log'!K172="Pending"),'Monthly Activity Log'!I172,"")</f>
        <v/>
      </c>
      <c r="G241" s="74">
        <f>IF(OR('Monthly Activity Log'!K172="In Progress",'Monthly Activity Log'!K172="Pending"),'Monthly Activity Log'!J172,"")</f>
        <v/>
      </c>
      <c r="H241" s="74">
        <f>IF(OR('Monthly Activity Log'!K172="In Progress",'Monthly Activity Log'!K172="Pending"),'Monthly Activity Log'!K172,"")</f>
        <v/>
      </c>
      <c r="I241" s="74">
        <f>IF(OR('Monthly Activity Log'!K172="In Progress",'Monthly Activity Log'!K172="Pending"),'Monthly Activity Log'!B172,"")</f>
        <v/>
      </c>
      <c r="J241" s="74">
        <f>IF(OR('Monthly Activity Log'!K172="In Progress",'Monthly Activity Log'!K172="Pending"),'Monthly Activity Log'!L172,"")</f>
        <v/>
      </c>
    </row>
    <row r="242" ht="15.75" customHeight="1" s="65">
      <c r="A242" s="70">
        <f>IF(OR('Monthly Activity Log'!K173="In Progress",'Monthly Activity Log'!K173="Pending"),'Monthly Activity Log'!H173,"")</f>
        <v/>
      </c>
      <c r="B242" s="70">
        <f>IF(OR('Monthly Activity Log'!K173="In Progress",'Monthly Activity Log'!K173="Pending"),'Monthly Activity Log'!C173,"")</f>
        <v/>
      </c>
      <c r="C242" s="70">
        <f>IF(OR('Monthly Activity Log'!K173="In Progress",'Monthly Activity Log'!K173="Pending"),'Monthly Activity Log'!E173,"")</f>
        <v/>
      </c>
      <c r="D242" s="70">
        <f>IF(OR('Monthly Activity Log'!K173="In Progress",'Monthly Activity Log'!K173="Pending"),'Monthly Activity Log'!F173,"")</f>
        <v/>
      </c>
      <c r="E242" s="70">
        <f>IF(OR('Monthly Activity Log'!K173="In Progress",'Monthly Activity Log'!K173="Pending"),'Monthly Activity Log'!G173,"")</f>
        <v/>
      </c>
      <c r="F242" s="70">
        <f>IF(OR('Monthly Activity Log'!K173="In Progress",'Monthly Activity Log'!K173="Pending"),'Monthly Activity Log'!I173,"")</f>
        <v/>
      </c>
      <c r="G242" s="70">
        <f>IF(OR('Monthly Activity Log'!K173="In Progress",'Monthly Activity Log'!K173="Pending"),'Monthly Activity Log'!J173,"")</f>
        <v/>
      </c>
      <c r="H242" s="70">
        <f>IF(OR('Monthly Activity Log'!K173="In Progress",'Monthly Activity Log'!K173="Pending"),'Monthly Activity Log'!K173,"")</f>
        <v/>
      </c>
      <c r="I242" s="70">
        <f>IF(OR('Monthly Activity Log'!K173="In Progress",'Monthly Activity Log'!K173="Pending"),'Monthly Activity Log'!B173,"")</f>
        <v/>
      </c>
      <c r="J242" s="70">
        <f>IF(OR('Monthly Activity Log'!K173="In Progress",'Monthly Activity Log'!K173="Pending"),'Monthly Activity Log'!L173,"")</f>
        <v/>
      </c>
    </row>
    <row r="243" ht="15.75" customHeight="1" s="65">
      <c r="A243" s="74">
        <f>IF(OR('Monthly Activity Log'!K174="In Progress",'Monthly Activity Log'!K174="Pending"),'Monthly Activity Log'!H174,"")</f>
        <v/>
      </c>
      <c r="B243" s="74">
        <f>IF(OR('Monthly Activity Log'!K174="In Progress",'Monthly Activity Log'!K174="Pending"),'Monthly Activity Log'!C174,"")</f>
        <v/>
      </c>
      <c r="C243" s="74">
        <f>IF(OR('Monthly Activity Log'!K174="In Progress",'Monthly Activity Log'!K174="Pending"),'Monthly Activity Log'!E174,"")</f>
        <v/>
      </c>
      <c r="D243" s="74">
        <f>IF(OR('Monthly Activity Log'!K174="In Progress",'Monthly Activity Log'!K174="Pending"),'Monthly Activity Log'!F174,"")</f>
        <v/>
      </c>
      <c r="E243" s="74">
        <f>IF(OR('Monthly Activity Log'!K174="In Progress",'Monthly Activity Log'!K174="Pending"),'Monthly Activity Log'!G174,"")</f>
        <v/>
      </c>
      <c r="F243" s="74">
        <f>IF(OR('Monthly Activity Log'!K174="In Progress",'Monthly Activity Log'!K174="Pending"),'Monthly Activity Log'!I174,"")</f>
        <v/>
      </c>
      <c r="G243" s="74">
        <f>IF(OR('Monthly Activity Log'!K174="In Progress",'Monthly Activity Log'!K174="Pending"),'Monthly Activity Log'!J174,"")</f>
        <v/>
      </c>
      <c r="H243" s="74">
        <f>IF(OR('Monthly Activity Log'!K174="In Progress",'Monthly Activity Log'!K174="Pending"),'Monthly Activity Log'!K174,"")</f>
        <v/>
      </c>
      <c r="I243" s="74">
        <f>IF(OR('Monthly Activity Log'!K174="In Progress",'Monthly Activity Log'!K174="Pending"),'Monthly Activity Log'!B174,"")</f>
        <v/>
      </c>
      <c r="J243" s="74">
        <f>IF(OR('Monthly Activity Log'!K174="In Progress",'Monthly Activity Log'!K174="Pending"),'Monthly Activity Log'!L174,"")</f>
        <v/>
      </c>
    </row>
    <row r="244" ht="15.75" customHeight="1" s="65">
      <c r="A244" s="70">
        <f>IF(OR('Monthly Activity Log'!K175="In Progress",'Monthly Activity Log'!K175="Pending"),'Monthly Activity Log'!H175,"")</f>
        <v/>
      </c>
      <c r="B244" s="70">
        <f>IF(OR('Monthly Activity Log'!K175="In Progress",'Monthly Activity Log'!K175="Pending"),'Monthly Activity Log'!C175,"")</f>
        <v/>
      </c>
      <c r="C244" s="70">
        <f>IF(OR('Monthly Activity Log'!K175="In Progress",'Monthly Activity Log'!K175="Pending"),'Monthly Activity Log'!E175,"")</f>
        <v/>
      </c>
      <c r="D244" s="70">
        <f>IF(OR('Monthly Activity Log'!K175="In Progress",'Monthly Activity Log'!K175="Pending"),'Monthly Activity Log'!F175,"")</f>
        <v/>
      </c>
      <c r="E244" s="70">
        <f>IF(OR('Monthly Activity Log'!K175="In Progress",'Monthly Activity Log'!K175="Pending"),'Monthly Activity Log'!G175,"")</f>
        <v/>
      </c>
      <c r="F244" s="70">
        <f>IF(OR('Monthly Activity Log'!K175="In Progress",'Monthly Activity Log'!K175="Pending"),'Monthly Activity Log'!I175,"")</f>
        <v/>
      </c>
      <c r="G244" s="70">
        <f>IF(OR('Monthly Activity Log'!K175="In Progress",'Monthly Activity Log'!K175="Pending"),'Monthly Activity Log'!J175,"")</f>
        <v/>
      </c>
      <c r="H244" s="70">
        <f>IF(OR('Monthly Activity Log'!K175="In Progress",'Monthly Activity Log'!K175="Pending"),'Monthly Activity Log'!K175,"")</f>
        <v/>
      </c>
      <c r="I244" s="70">
        <f>IF(OR('Monthly Activity Log'!K175="In Progress",'Monthly Activity Log'!K175="Pending"),'Monthly Activity Log'!B175,"")</f>
        <v/>
      </c>
      <c r="J244" s="70">
        <f>IF(OR('Monthly Activity Log'!K175="In Progress",'Monthly Activity Log'!K175="Pending"),'Monthly Activity Log'!L175,"")</f>
        <v/>
      </c>
    </row>
    <row r="245" ht="15.75" customHeight="1" s="65">
      <c r="A245" s="74">
        <f>IF(OR('Monthly Activity Log'!K176="In Progress",'Monthly Activity Log'!K176="Pending"),'Monthly Activity Log'!H176,"")</f>
        <v/>
      </c>
      <c r="B245" s="74">
        <f>IF(OR('Monthly Activity Log'!K176="In Progress",'Monthly Activity Log'!K176="Pending"),'Monthly Activity Log'!C176,"")</f>
        <v/>
      </c>
      <c r="C245" s="74">
        <f>IF(OR('Monthly Activity Log'!K176="In Progress",'Monthly Activity Log'!K176="Pending"),'Monthly Activity Log'!E176,"")</f>
        <v/>
      </c>
      <c r="D245" s="74">
        <f>IF(OR('Monthly Activity Log'!K176="In Progress",'Monthly Activity Log'!K176="Pending"),'Monthly Activity Log'!F176,"")</f>
        <v/>
      </c>
      <c r="E245" s="74">
        <f>IF(OR('Monthly Activity Log'!K176="In Progress",'Monthly Activity Log'!K176="Pending"),'Monthly Activity Log'!G176,"")</f>
        <v/>
      </c>
      <c r="F245" s="74">
        <f>IF(OR('Monthly Activity Log'!K176="In Progress",'Monthly Activity Log'!K176="Pending"),'Monthly Activity Log'!I176,"")</f>
        <v/>
      </c>
      <c r="G245" s="74">
        <f>IF(OR('Monthly Activity Log'!K176="In Progress",'Monthly Activity Log'!K176="Pending"),'Monthly Activity Log'!J176,"")</f>
        <v/>
      </c>
      <c r="H245" s="74">
        <f>IF(OR('Monthly Activity Log'!K176="In Progress",'Monthly Activity Log'!K176="Pending"),'Monthly Activity Log'!K176,"")</f>
        <v/>
      </c>
      <c r="I245" s="74">
        <f>IF(OR('Monthly Activity Log'!K176="In Progress",'Monthly Activity Log'!K176="Pending"),'Monthly Activity Log'!B176,"")</f>
        <v/>
      </c>
      <c r="J245" s="74">
        <f>IF(OR('Monthly Activity Log'!K176="In Progress",'Monthly Activity Log'!K176="Pending"),'Monthly Activity Log'!L176,"")</f>
        <v/>
      </c>
    </row>
    <row r="246" ht="15.75" customHeight="1" s="65">
      <c r="A246" s="70">
        <f>IF(OR('Monthly Activity Log'!K177="In Progress",'Monthly Activity Log'!K177="Pending"),'Monthly Activity Log'!H177,"")</f>
        <v/>
      </c>
      <c r="B246" s="70">
        <f>IF(OR('Monthly Activity Log'!K177="In Progress",'Monthly Activity Log'!K177="Pending"),'Monthly Activity Log'!C177,"")</f>
        <v/>
      </c>
      <c r="C246" s="70">
        <f>IF(OR('Monthly Activity Log'!K177="In Progress",'Monthly Activity Log'!K177="Pending"),'Monthly Activity Log'!E177,"")</f>
        <v/>
      </c>
      <c r="D246" s="70">
        <f>IF(OR('Monthly Activity Log'!K177="In Progress",'Monthly Activity Log'!K177="Pending"),'Monthly Activity Log'!F177,"")</f>
        <v/>
      </c>
      <c r="E246" s="70">
        <f>IF(OR('Monthly Activity Log'!K177="In Progress",'Monthly Activity Log'!K177="Pending"),'Monthly Activity Log'!G177,"")</f>
        <v/>
      </c>
      <c r="F246" s="70">
        <f>IF(OR('Monthly Activity Log'!K177="In Progress",'Monthly Activity Log'!K177="Pending"),'Monthly Activity Log'!I177,"")</f>
        <v/>
      </c>
      <c r="G246" s="70">
        <f>IF(OR('Monthly Activity Log'!K177="In Progress",'Monthly Activity Log'!K177="Pending"),'Monthly Activity Log'!J177,"")</f>
        <v/>
      </c>
      <c r="H246" s="70">
        <f>IF(OR('Monthly Activity Log'!K177="In Progress",'Monthly Activity Log'!K177="Pending"),'Monthly Activity Log'!K177,"")</f>
        <v/>
      </c>
      <c r="I246" s="70">
        <f>IF(OR('Monthly Activity Log'!K177="In Progress",'Monthly Activity Log'!K177="Pending"),'Monthly Activity Log'!B177,"")</f>
        <v/>
      </c>
      <c r="J246" s="70">
        <f>IF(OR('Monthly Activity Log'!K177="In Progress",'Monthly Activity Log'!K177="Pending"),'Monthly Activity Log'!L177,"")</f>
        <v/>
      </c>
    </row>
    <row r="247" ht="15.75" customHeight="1" s="65">
      <c r="A247" s="74">
        <f>IF(OR('Monthly Activity Log'!K178="In Progress",'Monthly Activity Log'!K178="Pending"),'Monthly Activity Log'!H178,"")</f>
        <v/>
      </c>
      <c r="B247" s="74">
        <f>IF(OR('Monthly Activity Log'!K178="In Progress",'Monthly Activity Log'!K178="Pending"),'Monthly Activity Log'!C178,"")</f>
        <v/>
      </c>
      <c r="C247" s="74">
        <f>IF(OR('Monthly Activity Log'!K178="In Progress",'Monthly Activity Log'!K178="Pending"),'Monthly Activity Log'!E178,"")</f>
        <v/>
      </c>
      <c r="D247" s="74">
        <f>IF(OR('Monthly Activity Log'!K178="In Progress",'Monthly Activity Log'!K178="Pending"),'Monthly Activity Log'!F178,"")</f>
        <v/>
      </c>
      <c r="E247" s="74">
        <f>IF(OR('Monthly Activity Log'!K178="In Progress",'Monthly Activity Log'!K178="Pending"),'Monthly Activity Log'!G178,"")</f>
        <v/>
      </c>
      <c r="F247" s="74">
        <f>IF(OR('Monthly Activity Log'!K178="In Progress",'Monthly Activity Log'!K178="Pending"),'Monthly Activity Log'!I178,"")</f>
        <v/>
      </c>
      <c r="G247" s="74">
        <f>IF(OR('Monthly Activity Log'!K178="In Progress",'Monthly Activity Log'!K178="Pending"),'Monthly Activity Log'!J178,"")</f>
        <v/>
      </c>
      <c r="H247" s="74">
        <f>IF(OR('Monthly Activity Log'!K178="In Progress",'Monthly Activity Log'!K178="Pending"),'Monthly Activity Log'!K178,"")</f>
        <v/>
      </c>
      <c r="I247" s="74">
        <f>IF(OR('Monthly Activity Log'!K178="In Progress",'Monthly Activity Log'!K178="Pending"),'Monthly Activity Log'!B178,"")</f>
        <v/>
      </c>
      <c r="J247" s="74">
        <f>IF(OR('Monthly Activity Log'!K178="In Progress",'Monthly Activity Log'!K178="Pending"),'Monthly Activity Log'!L178,"")</f>
        <v/>
      </c>
    </row>
    <row r="248" ht="15.75" customHeight="1" s="65">
      <c r="A248" s="70">
        <f>IF(OR('Monthly Activity Log'!K179="In Progress",'Monthly Activity Log'!K179="Pending"),'Monthly Activity Log'!H179,"")</f>
        <v/>
      </c>
      <c r="B248" s="70">
        <f>IF(OR('Monthly Activity Log'!K179="In Progress",'Monthly Activity Log'!K179="Pending"),'Monthly Activity Log'!C179,"")</f>
        <v/>
      </c>
      <c r="C248" s="70">
        <f>IF(OR('Monthly Activity Log'!K179="In Progress",'Monthly Activity Log'!K179="Pending"),'Monthly Activity Log'!E179,"")</f>
        <v/>
      </c>
      <c r="D248" s="70">
        <f>IF(OR('Monthly Activity Log'!K179="In Progress",'Monthly Activity Log'!K179="Pending"),'Monthly Activity Log'!F179,"")</f>
        <v/>
      </c>
      <c r="E248" s="70">
        <f>IF(OR('Monthly Activity Log'!K179="In Progress",'Monthly Activity Log'!K179="Pending"),'Monthly Activity Log'!G179,"")</f>
        <v/>
      </c>
      <c r="F248" s="70">
        <f>IF(OR('Monthly Activity Log'!K179="In Progress",'Monthly Activity Log'!K179="Pending"),'Monthly Activity Log'!I179,"")</f>
        <v/>
      </c>
      <c r="G248" s="70">
        <f>IF(OR('Monthly Activity Log'!K179="In Progress",'Monthly Activity Log'!K179="Pending"),'Monthly Activity Log'!J179,"")</f>
        <v/>
      </c>
      <c r="H248" s="70">
        <f>IF(OR('Monthly Activity Log'!K179="In Progress",'Monthly Activity Log'!K179="Pending"),'Monthly Activity Log'!K179,"")</f>
        <v/>
      </c>
      <c r="I248" s="70">
        <f>IF(OR('Monthly Activity Log'!K179="In Progress",'Monthly Activity Log'!K179="Pending"),'Monthly Activity Log'!B179,"")</f>
        <v/>
      </c>
      <c r="J248" s="70">
        <f>IF(OR('Monthly Activity Log'!K179="In Progress",'Monthly Activity Log'!K179="Pending"),'Monthly Activity Log'!L179,"")</f>
        <v/>
      </c>
    </row>
    <row r="249" ht="15.75" customHeight="1" s="65">
      <c r="A249" s="74">
        <f>IF(OR('Monthly Activity Log'!K180="In Progress",'Monthly Activity Log'!K180="Pending"),'Monthly Activity Log'!H180,"")</f>
        <v/>
      </c>
      <c r="B249" s="74">
        <f>IF(OR('Monthly Activity Log'!K180="In Progress",'Monthly Activity Log'!K180="Pending"),'Monthly Activity Log'!C180,"")</f>
        <v/>
      </c>
      <c r="C249" s="74">
        <f>IF(OR('Monthly Activity Log'!K180="In Progress",'Monthly Activity Log'!K180="Pending"),'Monthly Activity Log'!E180,"")</f>
        <v/>
      </c>
      <c r="D249" s="74">
        <f>IF(OR('Monthly Activity Log'!K180="In Progress",'Monthly Activity Log'!K180="Pending"),'Monthly Activity Log'!F180,"")</f>
        <v/>
      </c>
      <c r="E249" s="74">
        <f>IF(OR('Monthly Activity Log'!K180="In Progress",'Monthly Activity Log'!K180="Pending"),'Monthly Activity Log'!G180,"")</f>
        <v/>
      </c>
      <c r="F249" s="74">
        <f>IF(OR('Monthly Activity Log'!K180="In Progress",'Monthly Activity Log'!K180="Pending"),'Monthly Activity Log'!I180,"")</f>
        <v/>
      </c>
      <c r="G249" s="74">
        <f>IF(OR('Monthly Activity Log'!K180="In Progress",'Monthly Activity Log'!K180="Pending"),'Monthly Activity Log'!J180,"")</f>
        <v/>
      </c>
      <c r="H249" s="74">
        <f>IF(OR('Monthly Activity Log'!K180="In Progress",'Monthly Activity Log'!K180="Pending"),'Monthly Activity Log'!K180,"")</f>
        <v/>
      </c>
      <c r="I249" s="74">
        <f>IF(OR('Monthly Activity Log'!K180="In Progress",'Monthly Activity Log'!K180="Pending"),'Monthly Activity Log'!B180,"")</f>
        <v/>
      </c>
      <c r="J249" s="74">
        <f>IF(OR('Monthly Activity Log'!K180="In Progress",'Monthly Activity Log'!K180="Pending"),'Monthly Activity Log'!L180,"")</f>
        <v/>
      </c>
    </row>
    <row r="250" ht="15.75" customHeight="1" s="65">
      <c r="A250" s="70">
        <f>IF(OR('Monthly Activity Log'!K181="In Progress",'Monthly Activity Log'!K181="Pending"),'Monthly Activity Log'!H181,"")</f>
        <v/>
      </c>
      <c r="B250" s="70">
        <f>IF(OR('Monthly Activity Log'!K181="In Progress",'Monthly Activity Log'!K181="Pending"),'Monthly Activity Log'!C181,"")</f>
        <v/>
      </c>
      <c r="C250" s="70">
        <f>IF(OR('Monthly Activity Log'!K181="In Progress",'Monthly Activity Log'!K181="Pending"),'Monthly Activity Log'!E181,"")</f>
        <v/>
      </c>
      <c r="D250" s="70">
        <f>IF(OR('Monthly Activity Log'!K181="In Progress",'Monthly Activity Log'!K181="Pending"),'Monthly Activity Log'!F181,"")</f>
        <v/>
      </c>
      <c r="E250" s="70">
        <f>IF(OR('Monthly Activity Log'!K181="In Progress",'Monthly Activity Log'!K181="Pending"),'Monthly Activity Log'!G181,"")</f>
        <v/>
      </c>
      <c r="F250" s="70">
        <f>IF(OR('Monthly Activity Log'!K181="In Progress",'Monthly Activity Log'!K181="Pending"),'Monthly Activity Log'!I181,"")</f>
        <v/>
      </c>
      <c r="G250" s="70">
        <f>IF(OR('Monthly Activity Log'!K181="In Progress",'Monthly Activity Log'!K181="Pending"),'Monthly Activity Log'!J181,"")</f>
        <v/>
      </c>
      <c r="H250" s="70">
        <f>IF(OR('Monthly Activity Log'!K181="In Progress",'Monthly Activity Log'!K181="Pending"),'Monthly Activity Log'!K181,"")</f>
        <v/>
      </c>
      <c r="I250" s="70">
        <f>IF(OR('Monthly Activity Log'!K181="In Progress",'Monthly Activity Log'!K181="Pending"),'Monthly Activity Log'!B181,"")</f>
        <v/>
      </c>
      <c r="J250" s="70">
        <f>IF(OR('Monthly Activity Log'!K181="In Progress",'Monthly Activity Log'!K181="Pending"),'Monthly Activity Log'!L181,"")</f>
        <v/>
      </c>
    </row>
    <row r="251" ht="15.75" customHeight="1" s="65">
      <c r="A251" s="74">
        <f>IF(OR('Monthly Activity Log'!K182="In Progress",'Monthly Activity Log'!K182="Pending"),'Monthly Activity Log'!H182,"")</f>
        <v/>
      </c>
      <c r="B251" s="74">
        <f>IF(OR('Monthly Activity Log'!K182="In Progress",'Monthly Activity Log'!K182="Pending"),'Monthly Activity Log'!C182,"")</f>
        <v/>
      </c>
      <c r="C251" s="74">
        <f>IF(OR('Monthly Activity Log'!K182="In Progress",'Monthly Activity Log'!K182="Pending"),'Monthly Activity Log'!E182,"")</f>
        <v/>
      </c>
      <c r="D251" s="74">
        <f>IF(OR('Monthly Activity Log'!K182="In Progress",'Monthly Activity Log'!K182="Pending"),'Monthly Activity Log'!F182,"")</f>
        <v/>
      </c>
      <c r="E251" s="74">
        <f>IF(OR('Monthly Activity Log'!K182="In Progress",'Monthly Activity Log'!K182="Pending"),'Monthly Activity Log'!G182,"")</f>
        <v/>
      </c>
      <c r="F251" s="74">
        <f>IF(OR('Monthly Activity Log'!K182="In Progress",'Monthly Activity Log'!K182="Pending"),'Monthly Activity Log'!I182,"")</f>
        <v/>
      </c>
      <c r="G251" s="74">
        <f>IF(OR('Monthly Activity Log'!K182="In Progress",'Monthly Activity Log'!K182="Pending"),'Monthly Activity Log'!J182,"")</f>
        <v/>
      </c>
      <c r="H251" s="74">
        <f>IF(OR('Monthly Activity Log'!K182="In Progress",'Monthly Activity Log'!K182="Pending"),'Monthly Activity Log'!K182,"")</f>
        <v/>
      </c>
      <c r="I251" s="74">
        <f>IF(OR('Monthly Activity Log'!K182="In Progress",'Monthly Activity Log'!K182="Pending"),'Monthly Activity Log'!B182,"")</f>
        <v/>
      </c>
      <c r="J251" s="74">
        <f>IF(OR('Monthly Activity Log'!K182="In Progress",'Monthly Activity Log'!K182="Pending"),'Monthly Activity Log'!L182,"")</f>
        <v/>
      </c>
    </row>
    <row r="252" ht="15.75" customHeight="1" s="65">
      <c r="A252" s="70">
        <f>IF(OR('Monthly Activity Log'!K183="In Progress",'Monthly Activity Log'!K183="Pending"),'Monthly Activity Log'!H183,"")</f>
        <v/>
      </c>
      <c r="B252" s="70">
        <f>IF(OR('Monthly Activity Log'!K183="In Progress",'Monthly Activity Log'!K183="Pending"),'Monthly Activity Log'!C183,"")</f>
        <v/>
      </c>
      <c r="C252" s="70">
        <f>IF(OR('Monthly Activity Log'!K183="In Progress",'Monthly Activity Log'!K183="Pending"),'Monthly Activity Log'!E183,"")</f>
        <v/>
      </c>
      <c r="D252" s="70">
        <f>IF(OR('Monthly Activity Log'!K183="In Progress",'Monthly Activity Log'!K183="Pending"),'Monthly Activity Log'!F183,"")</f>
        <v/>
      </c>
      <c r="E252" s="70">
        <f>IF(OR('Monthly Activity Log'!K183="In Progress",'Monthly Activity Log'!K183="Pending"),'Monthly Activity Log'!G183,"")</f>
        <v/>
      </c>
      <c r="F252" s="70">
        <f>IF(OR('Monthly Activity Log'!K183="In Progress",'Monthly Activity Log'!K183="Pending"),'Monthly Activity Log'!I183,"")</f>
        <v/>
      </c>
      <c r="G252" s="70">
        <f>IF(OR('Monthly Activity Log'!K183="In Progress",'Monthly Activity Log'!K183="Pending"),'Monthly Activity Log'!J183,"")</f>
        <v/>
      </c>
      <c r="H252" s="70">
        <f>IF(OR('Monthly Activity Log'!K183="In Progress",'Monthly Activity Log'!K183="Pending"),'Monthly Activity Log'!K183,"")</f>
        <v/>
      </c>
      <c r="I252" s="70">
        <f>IF(OR('Monthly Activity Log'!K183="In Progress",'Monthly Activity Log'!K183="Pending"),'Monthly Activity Log'!B183,"")</f>
        <v/>
      </c>
      <c r="J252" s="70">
        <f>IF(OR('Monthly Activity Log'!K183="In Progress",'Monthly Activity Log'!K183="Pending"),'Monthly Activity Log'!L183,"")</f>
        <v/>
      </c>
    </row>
    <row r="253" ht="15.75" customHeight="1" s="65">
      <c r="A253" s="74">
        <f>IF(OR('Monthly Activity Log'!K184="In Progress",'Monthly Activity Log'!K184="Pending"),'Monthly Activity Log'!H184,"")</f>
        <v/>
      </c>
      <c r="B253" s="74">
        <f>IF(OR('Monthly Activity Log'!K184="In Progress",'Monthly Activity Log'!K184="Pending"),'Monthly Activity Log'!C184,"")</f>
        <v/>
      </c>
      <c r="C253" s="74">
        <f>IF(OR('Monthly Activity Log'!K184="In Progress",'Monthly Activity Log'!K184="Pending"),'Monthly Activity Log'!E184,"")</f>
        <v/>
      </c>
      <c r="D253" s="74">
        <f>IF(OR('Monthly Activity Log'!K184="In Progress",'Monthly Activity Log'!K184="Pending"),'Monthly Activity Log'!F184,"")</f>
        <v/>
      </c>
      <c r="E253" s="74">
        <f>IF(OR('Monthly Activity Log'!K184="In Progress",'Monthly Activity Log'!K184="Pending"),'Monthly Activity Log'!G184,"")</f>
        <v/>
      </c>
      <c r="F253" s="74">
        <f>IF(OR('Monthly Activity Log'!K184="In Progress",'Monthly Activity Log'!K184="Pending"),'Monthly Activity Log'!I184,"")</f>
        <v/>
      </c>
      <c r="G253" s="74">
        <f>IF(OR('Monthly Activity Log'!K184="In Progress",'Monthly Activity Log'!K184="Pending"),'Monthly Activity Log'!J184,"")</f>
        <v/>
      </c>
      <c r="H253" s="74">
        <f>IF(OR('Monthly Activity Log'!K184="In Progress",'Monthly Activity Log'!K184="Pending"),'Monthly Activity Log'!K184,"")</f>
        <v/>
      </c>
      <c r="I253" s="74">
        <f>IF(OR('Monthly Activity Log'!K184="In Progress",'Monthly Activity Log'!K184="Pending"),'Monthly Activity Log'!B184,"")</f>
        <v/>
      </c>
      <c r="J253" s="74">
        <f>IF(OR('Monthly Activity Log'!K184="In Progress",'Monthly Activity Log'!K184="Pending"),'Monthly Activity Log'!L184,"")</f>
        <v/>
      </c>
    </row>
    <row r="254" ht="15.75" customHeight="1" s="65">
      <c r="A254" s="70">
        <f>IF(OR('Monthly Activity Log'!K185="In Progress",'Monthly Activity Log'!K185="Pending"),'Monthly Activity Log'!H185,"")</f>
        <v/>
      </c>
      <c r="B254" s="70">
        <f>IF(OR('Monthly Activity Log'!K185="In Progress",'Monthly Activity Log'!K185="Pending"),'Monthly Activity Log'!C185,"")</f>
        <v/>
      </c>
      <c r="C254" s="70">
        <f>IF(OR('Monthly Activity Log'!K185="In Progress",'Monthly Activity Log'!K185="Pending"),'Monthly Activity Log'!E185,"")</f>
        <v/>
      </c>
      <c r="D254" s="70">
        <f>IF(OR('Monthly Activity Log'!K185="In Progress",'Monthly Activity Log'!K185="Pending"),'Monthly Activity Log'!F185,"")</f>
        <v/>
      </c>
      <c r="E254" s="70">
        <f>IF(OR('Monthly Activity Log'!K185="In Progress",'Monthly Activity Log'!K185="Pending"),'Monthly Activity Log'!G185,"")</f>
        <v/>
      </c>
      <c r="F254" s="70">
        <f>IF(OR('Monthly Activity Log'!K185="In Progress",'Monthly Activity Log'!K185="Pending"),'Monthly Activity Log'!I185,"")</f>
        <v/>
      </c>
      <c r="G254" s="70">
        <f>IF(OR('Monthly Activity Log'!K185="In Progress",'Monthly Activity Log'!K185="Pending"),'Monthly Activity Log'!J185,"")</f>
        <v/>
      </c>
      <c r="H254" s="70">
        <f>IF(OR('Monthly Activity Log'!K185="In Progress",'Monthly Activity Log'!K185="Pending"),'Monthly Activity Log'!K185,"")</f>
        <v/>
      </c>
      <c r="I254" s="70">
        <f>IF(OR('Monthly Activity Log'!K185="In Progress",'Monthly Activity Log'!K185="Pending"),'Monthly Activity Log'!B185,"")</f>
        <v/>
      </c>
      <c r="J254" s="70">
        <f>IF(OR('Monthly Activity Log'!K185="In Progress",'Monthly Activity Log'!K185="Pending"),'Monthly Activity Log'!L185,"")</f>
        <v/>
      </c>
    </row>
    <row r="255" ht="15.75" customHeight="1" s="65">
      <c r="A255" s="74">
        <f>IF(OR('Monthly Activity Log'!K186="In Progress",'Monthly Activity Log'!K186="Pending"),'Monthly Activity Log'!H186,"")</f>
        <v/>
      </c>
      <c r="B255" s="74">
        <f>IF(OR('Monthly Activity Log'!K186="In Progress",'Monthly Activity Log'!K186="Pending"),'Monthly Activity Log'!C186,"")</f>
        <v/>
      </c>
      <c r="C255" s="74">
        <f>IF(OR('Monthly Activity Log'!K186="In Progress",'Monthly Activity Log'!K186="Pending"),'Monthly Activity Log'!E186,"")</f>
        <v/>
      </c>
      <c r="D255" s="74">
        <f>IF(OR('Monthly Activity Log'!K186="In Progress",'Monthly Activity Log'!K186="Pending"),'Monthly Activity Log'!F186,"")</f>
        <v/>
      </c>
      <c r="E255" s="74">
        <f>IF(OR('Monthly Activity Log'!K186="In Progress",'Monthly Activity Log'!K186="Pending"),'Monthly Activity Log'!G186,"")</f>
        <v/>
      </c>
      <c r="F255" s="74">
        <f>IF(OR('Monthly Activity Log'!K186="In Progress",'Monthly Activity Log'!K186="Pending"),'Monthly Activity Log'!I186,"")</f>
        <v/>
      </c>
      <c r="G255" s="74">
        <f>IF(OR('Monthly Activity Log'!K186="In Progress",'Monthly Activity Log'!K186="Pending"),'Monthly Activity Log'!J186,"")</f>
        <v/>
      </c>
      <c r="H255" s="74">
        <f>IF(OR('Monthly Activity Log'!K186="In Progress",'Monthly Activity Log'!K186="Pending"),'Monthly Activity Log'!K186,"")</f>
        <v/>
      </c>
      <c r="I255" s="74">
        <f>IF(OR('Monthly Activity Log'!K186="In Progress",'Monthly Activity Log'!K186="Pending"),'Monthly Activity Log'!B186,"")</f>
        <v/>
      </c>
      <c r="J255" s="74">
        <f>IF(OR('Monthly Activity Log'!K186="In Progress",'Monthly Activity Log'!K186="Pending"),'Monthly Activity Log'!L186,"")</f>
        <v/>
      </c>
    </row>
    <row r="256" ht="15.75" customHeight="1" s="65">
      <c r="A256" s="70">
        <f>IF(OR('Monthly Activity Log'!K187="In Progress",'Monthly Activity Log'!K187="Pending"),'Monthly Activity Log'!H187,"")</f>
        <v/>
      </c>
      <c r="B256" s="70">
        <f>IF(OR('Monthly Activity Log'!K187="In Progress",'Monthly Activity Log'!K187="Pending"),'Monthly Activity Log'!C187,"")</f>
        <v/>
      </c>
      <c r="C256" s="70">
        <f>IF(OR('Monthly Activity Log'!K187="In Progress",'Monthly Activity Log'!K187="Pending"),'Monthly Activity Log'!E187,"")</f>
        <v/>
      </c>
      <c r="D256" s="70">
        <f>IF(OR('Monthly Activity Log'!K187="In Progress",'Monthly Activity Log'!K187="Pending"),'Monthly Activity Log'!F187,"")</f>
        <v/>
      </c>
      <c r="E256" s="70">
        <f>IF(OR('Monthly Activity Log'!K187="In Progress",'Monthly Activity Log'!K187="Pending"),'Monthly Activity Log'!G187,"")</f>
        <v/>
      </c>
      <c r="F256" s="70">
        <f>IF(OR('Monthly Activity Log'!K187="In Progress",'Monthly Activity Log'!K187="Pending"),'Monthly Activity Log'!I187,"")</f>
        <v/>
      </c>
      <c r="G256" s="70">
        <f>IF(OR('Monthly Activity Log'!K187="In Progress",'Monthly Activity Log'!K187="Pending"),'Monthly Activity Log'!J187,"")</f>
        <v/>
      </c>
      <c r="H256" s="70">
        <f>IF(OR('Monthly Activity Log'!K187="In Progress",'Monthly Activity Log'!K187="Pending"),'Monthly Activity Log'!K187,"")</f>
        <v/>
      </c>
      <c r="I256" s="70">
        <f>IF(OR('Monthly Activity Log'!K187="In Progress",'Monthly Activity Log'!K187="Pending"),'Monthly Activity Log'!B187,"")</f>
        <v/>
      </c>
      <c r="J256" s="70">
        <f>IF(OR('Monthly Activity Log'!K187="In Progress",'Monthly Activity Log'!K187="Pending"),'Monthly Activity Log'!L187,"")</f>
        <v/>
      </c>
    </row>
    <row r="257" ht="15.75" customHeight="1" s="65">
      <c r="A257" s="74">
        <f>IF(OR('Monthly Activity Log'!K188="In Progress",'Monthly Activity Log'!K188="Pending"),'Monthly Activity Log'!H188,"")</f>
        <v/>
      </c>
      <c r="B257" s="74">
        <f>IF(OR('Monthly Activity Log'!K188="In Progress",'Monthly Activity Log'!K188="Pending"),'Monthly Activity Log'!C188,"")</f>
        <v/>
      </c>
      <c r="C257" s="74">
        <f>IF(OR('Monthly Activity Log'!K188="In Progress",'Monthly Activity Log'!K188="Pending"),'Monthly Activity Log'!E188,"")</f>
        <v/>
      </c>
      <c r="D257" s="74">
        <f>IF(OR('Monthly Activity Log'!K188="In Progress",'Monthly Activity Log'!K188="Pending"),'Monthly Activity Log'!F188,"")</f>
        <v/>
      </c>
      <c r="E257" s="74">
        <f>IF(OR('Monthly Activity Log'!K188="In Progress",'Monthly Activity Log'!K188="Pending"),'Monthly Activity Log'!G188,"")</f>
        <v/>
      </c>
      <c r="F257" s="74">
        <f>IF(OR('Monthly Activity Log'!K188="In Progress",'Monthly Activity Log'!K188="Pending"),'Monthly Activity Log'!I188,"")</f>
        <v/>
      </c>
      <c r="G257" s="74">
        <f>IF(OR('Monthly Activity Log'!K188="In Progress",'Monthly Activity Log'!K188="Pending"),'Monthly Activity Log'!J188,"")</f>
        <v/>
      </c>
      <c r="H257" s="74">
        <f>IF(OR('Monthly Activity Log'!K188="In Progress",'Monthly Activity Log'!K188="Pending"),'Monthly Activity Log'!K188,"")</f>
        <v/>
      </c>
      <c r="I257" s="74">
        <f>IF(OR('Monthly Activity Log'!K188="In Progress",'Monthly Activity Log'!K188="Pending"),'Monthly Activity Log'!B188,"")</f>
        <v/>
      </c>
      <c r="J257" s="74">
        <f>IF(OR('Monthly Activity Log'!K188="In Progress",'Monthly Activity Log'!K188="Pending"),'Monthly Activity Log'!L188,"")</f>
        <v/>
      </c>
    </row>
    <row r="258" ht="15.75" customHeight="1" s="65">
      <c r="A258" s="70">
        <f>IF(OR('Monthly Activity Log'!K189="In Progress",'Monthly Activity Log'!K189="Pending"),'Monthly Activity Log'!H189,"")</f>
        <v/>
      </c>
      <c r="B258" s="70">
        <f>IF(OR('Monthly Activity Log'!K189="In Progress",'Monthly Activity Log'!K189="Pending"),'Monthly Activity Log'!C189,"")</f>
        <v/>
      </c>
      <c r="C258" s="70">
        <f>IF(OR('Monthly Activity Log'!K189="In Progress",'Monthly Activity Log'!K189="Pending"),'Monthly Activity Log'!E189,"")</f>
        <v/>
      </c>
      <c r="D258" s="70">
        <f>IF(OR('Monthly Activity Log'!K189="In Progress",'Monthly Activity Log'!K189="Pending"),'Monthly Activity Log'!F189,"")</f>
        <v/>
      </c>
      <c r="E258" s="70">
        <f>IF(OR('Monthly Activity Log'!K189="In Progress",'Monthly Activity Log'!K189="Pending"),'Monthly Activity Log'!G189,"")</f>
        <v/>
      </c>
      <c r="F258" s="70">
        <f>IF(OR('Monthly Activity Log'!K189="In Progress",'Monthly Activity Log'!K189="Pending"),'Monthly Activity Log'!I189,"")</f>
        <v/>
      </c>
      <c r="G258" s="70">
        <f>IF(OR('Monthly Activity Log'!K189="In Progress",'Monthly Activity Log'!K189="Pending"),'Monthly Activity Log'!J189,"")</f>
        <v/>
      </c>
      <c r="H258" s="70">
        <f>IF(OR('Monthly Activity Log'!K189="In Progress",'Monthly Activity Log'!K189="Pending"),'Monthly Activity Log'!K189,"")</f>
        <v/>
      </c>
      <c r="I258" s="70">
        <f>IF(OR('Monthly Activity Log'!K189="In Progress",'Monthly Activity Log'!K189="Pending"),'Monthly Activity Log'!B189,"")</f>
        <v/>
      </c>
      <c r="J258" s="70">
        <f>IF(OR('Monthly Activity Log'!K189="In Progress",'Monthly Activity Log'!K189="Pending"),'Monthly Activity Log'!L189,"")</f>
        <v/>
      </c>
    </row>
    <row r="259" ht="15.75" customHeight="1" s="65">
      <c r="A259" s="74">
        <f>IF(OR('Monthly Activity Log'!K190="In Progress",'Monthly Activity Log'!K190="Pending"),'Monthly Activity Log'!H190,"")</f>
        <v/>
      </c>
      <c r="B259" s="74">
        <f>IF(OR('Monthly Activity Log'!K190="In Progress",'Monthly Activity Log'!K190="Pending"),'Monthly Activity Log'!C190,"")</f>
        <v/>
      </c>
      <c r="C259" s="74">
        <f>IF(OR('Monthly Activity Log'!K190="In Progress",'Monthly Activity Log'!K190="Pending"),'Monthly Activity Log'!E190,"")</f>
        <v/>
      </c>
      <c r="D259" s="74">
        <f>IF(OR('Monthly Activity Log'!K190="In Progress",'Monthly Activity Log'!K190="Pending"),'Monthly Activity Log'!F190,"")</f>
        <v/>
      </c>
      <c r="E259" s="74">
        <f>IF(OR('Monthly Activity Log'!K190="In Progress",'Monthly Activity Log'!K190="Pending"),'Monthly Activity Log'!G190,"")</f>
        <v/>
      </c>
      <c r="F259" s="74">
        <f>IF(OR('Monthly Activity Log'!K190="In Progress",'Monthly Activity Log'!K190="Pending"),'Monthly Activity Log'!I190,"")</f>
        <v/>
      </c>
      <c r="G259" s="74">
        <f>IF(OR('Monthly Activity Log'!K190="In Progress",'Monthly Activity Log'!K190="Pending"),'Monthly Activity Log'!J190,"")</f>
        <v/>
      </c>
      <c r="H259" s="74">
        <f>IF(OR('Monthly Activity Log'!K190="In Progress",'Monthly Activity Log'!K190="Pending"),'Monthly Activity Log'!K190,"")</f>
        <v/>
      </c>
      <c r="I259" s="74">
        <f>IF(OR('Monthly Activity Log'!K190="In Progress",'Monthly Activity Log'!K190="Pending"),'Monthly Activity Log'!B190,"")</f>
        <v/>
      </c>
      <c r="J259" s="74">
        <f>IF(OR('Monthly Activity Log'!K190="In Progress",'Monthly Activity Log'!K190="Pending"),'Monthly Activity Log'!L190,"")</f>
        <v/>
      </c>
    </row>
    <row r="260" ht="15.75" customHeight="1" s="65">
      <c r="A260" s="70">
        <f>IF(OR('Monthly Activity Log'!K191="In Progress",'Monthly Activity Log'!K191="Pending"),'Monthly Activity Log'!H191,"")</f>
        <v/>
      </c>
      <c r="B260" s="70">
        <f>IF(OR('Monthly Activity Log'!K191="In Progress",'Monthly Activity Log'!K191="Pending"),'Monthly Activity Log'!C191,"")</f>
        <v/>
      </c>
      <c r="C260" s="70">
        <f>IF(OR('Monthly Activity Log'!K191="In Progress",'Monthly Activity Log'!K191="Pending"),'Monthly Activity Log'!E191,"")</f>
        <v/>
      </c>
      <c r="D260" s="70">
        <f>IF(OR('Monthly Activity Log'!K191="In Progress",'Monthly Activity Log'!K191="Pending"),'Monthly Activity Log'!F191,"")</f>
        <v/>
      </c>
      <c r="E260" s="70">
        <f>IF(OR('Monthly Activity Log'!K191="In Progress",'Monthly Activity Log'!K191="Pending"),'Monthly Activity Log'!G191,"")</f>
        <v/>
      </c>
      <c r="F260" s="70">
        <f>IF(OR('Monthly Activity Log'!K191="In Progress",'Monthly Activity Log'!K191="Pending"),'Monthly Activity Log'!I191,"")</f>
        <v/>
      </c>
      <c r="G260" s="70">
        <f>IF(OR('Monthly Activity Log'!K191="In Progress",'Monthly Activity Log'!K191="Pending"),'Monthly Activity Log'!J191,"")</f>
        <v/>
      </c>
      <c r="H260" s="70">
        <f>IF(OR('Monthly Activity Log'!K191="In Progress",'Monthly Activity Log'!K191="Pending"),'Monthly Activity Log'!K191,"")</f>
        <v/>
      </c>
      <c r="I260" s="70">
        <f>IF(OR('Monthly Activity Log'!K191="In Progress",'Monthly Activity Log'!K191="Pending"),'Monthly Activity Log'!B191,"")</f>
        <v/>
      </c>
      <c r="J260" s="70">
        <f>IF(OR('Monthly Activity Log'!K191="In Progress",'Monthly Activity Log'!K191="Pending"),'Monthly Activity Log'!L191,"")</f>
        <v/>
      </c>
    </row>
    <row r="261" ht="15.75" customHeight="1" s="65">
      <c r="A261" s="74">
        <f>IF(OR('Monthly Activity Log'!K192="In Progress",'Monthly Activity Log'!K192="Pending"),'Monthly Activity Log'!H192,"")</f>
        <v/>
      </c>
      <c r="B261" s="74">
        <f>IF(OR('Monthly Activity Log'!K192="In Progress",'Monthly Activity Log'!K192="Pending"),'Monthly Activity Log'!C192,"")</f>
        <v/>
      </c>
      <c r="C261" s="74">
        <f>IF(OR('Monthly Activity Log'!K192="In Progress",'Monthly Activity Log'!K192="Pending"),'Monthly Activity Log'!E192,"")</f>
        <v/>
      </c>
      <c r="D261" s="74">
        <f>IF(OR('Monthly Activity Log'!K192="In Progress",'Monthly Activity Log'!K192="Pending"),'Monthly Activity Log'!F192,"")</f>
        <v/>
      </c>
      <c r="E261" s="74">
        <f>IF(OR('Monthly Activity Log'!K192="In Progress",'Monthly Activity Log'!K192="Pending"),'Monthly Activity Log'!G192,"")</f>
        <v/>
      </c>
      <c r="F261" s="74">
        <f>IF(OR('Monthly Activity Log'!K192="In Progress",'Monthly Activity Log'!K192="Pending"),'Monthly Activity Log'!I192,"")</f>
        <v/>
      </c>
      <c r="G261" s="74">
        <f>IF(OR('Monthly Activity Log'!K192="In Progress",'Monthly Activity Log'!K192="Pending"),'Monthly Activity Log'!J192,"")</f>
        <v/>
      </c>
      <c r="H261" s="74">
        <f>IF(OR('Monthly Activity Log'!K192="In Progress",'Monthly Activity Log'!K192="Pending"),'Monthly Activity Log'!K192,"")</f>
        <v/>
      </c>
      <c r="I261" s="74">
        <f>IF(OR('Monthly Activity Log'!K192="In Progress",'Monthly Activity Log'!K192="Pending"),'Monthly Activity Log'!B192,"")</f>
        <v/>
      </c>
      <c r="J261" s="74">
        <f>IF(OR('Monthly Activity Log'!K192="In Progress",'Monthly Activity Log'!K192="Pending"),'Monthly Activity Log'!L192,"")</f>
        <v/>
      </c>
    </row>
    <row r="262" ht="15.75" customHeight="1" s="65">
      <c r="A262" s="70">
        <f>IF(OR('Monthly Activity Log'!K193="In Progress",'Monthly Activity Log'!K193="Pending"),'Monthly Activity Log'!H193,"")</f>
        <v/>
      </c>
      <c r="B262" s="70">
        <f>IF(OR('Monthly Activity Log'!K193="In Progress",'Monthly Activity Log'!K193="Pending"),'Monthly Activity Log'!C193,"")</f>
        <v/>
      </c>
      <c r="C262" s="70">
        <f>IF(OR('Monthly Activity Log'!K193="In Progress",'Monthly Activity Log'!K193="Pending"),'Monthly Activity Log'!E193,"")</f>
        <v/>
      </c>
      <c r="D262" s="70">
        <f>IF(OR('Monthly Activity Log'!K193="In Progress",'Monthly Activity Log'!K193="Pending"),'Monthly Activity Log'!F193,"")</f>
        <v/>
      </c>
      <c r="E262" s="70">
        <f>IF(OR('Monthly Activity Log'!K193="In Progress",'Monthly Activity Log'!K193="Pending"),'Monthly Activity Log'!G193,"")</f>
        <v/>
      </c>
      <c r="F262" s="70">
        <f>IF(OR('Monthly Activity Log'!K193="In Progress",'Monthly Activity Log'!K193="Pending"),'Monthly Activity Log'!I193,"")</f>
        <v/>
      </c>
      <c r="G262" s="70">
        <f>IF(OR('Monthly Activity Log'!K193="In Progress",'Monthly Activity Log'!K193="Pending"),'Monthly Activity Log'!J193,"")</f>
        <v/>
      </c>
      <c r="H262" s="70">
        <f>IF(OR('Monthly Activity Log'!K193="In Progress",'Monthly Activity Log'!K193="Pending"),'Monthly Activity Log'!K193,"")</f>
        <v/>
      </c>
      <c r="I262" s="70">
        <f>IF(OR('Monthly Activity Log'!K193="In Progress",'Monthly Activity Log'!K193="Pending"),'Monthly Activity Log'!B193,"")</f>
        <v/>
      </c>
      <c r="J262" s="70">
        <f>IF(OR('Monthly Activity Log'!K193="In Progress",'Monthly Activity Log'!K193="Pending"),'Monthly Activity Log'!L193,"")</f>
        <v/>
      </c>
    </row>
    <row r="263" ht="15.75" customHeight="1" s="65">
      <c r="A263" s="74">
        <f>IF(OR('Monthly Activity Log'!K194="In Progress",'Monthly Activity Log'!K194="Pending"),'Monthly Activity Log'!H194,"")</f>
        <v/>
      </c>
      <c r="B263" s="74">
        <f>IF(OR('Monthly Activity Log'!K194="In Progress",'Monthly Activity Log'!K194="Pending"),'Monthly Activity Log'!C194,"")</f>
        <v/>
      </c>
      <c r="C263" s="74">
        <f>IF(OR('Monthly Activity Log'!K194="In Progress",'Monthly Activity Log'!K194="Pending"),'Monthly Activity Log'!E194,"")</f>
        <v/>
      </c>
      <c r="D263" s="74">
        <f>IF(OR('Monthly Activity Log'!K194="In Progress",'Monthly Activity Log'!K194="Pending"),'Monthly Activity Log'!F194,"")</f>
        <v/>
      </c>
      <c r="E263" s="74">
        <f>IF(OR('Monthly Activity Log'!K194="In Progress",'Monthly Activity Log'!K194="Pending"),'Monthly Activity Log'!G194,"")</f>
        <v/>
      </c>
      <c r="F263" s="74">
        <f>IF(OR('Monthly Activity Log'!K194="In Progress",'Monthly Activity Log'!K194="Pending"),'Monthly Activity Log'!I194,"")</f>
        <v/>
      </c>
      <c r="G263" s="74">
        <f>IF(OR('Monthly Activity Log'!K194="In Progress",'Monthly Activity Log'!K194="Pending"),'Monthly Activity Log'!J194,"")</f>
        <v/>
      </c>
      <c r="H263" s="74">
        <f>IF(OR('Monthly Activity Log'!K194="In Progress",'Monthly Activity Log'!K194="Pending"),'Monthly Activity Log'!K194,"")</f>
        <v/>
      </c>
      <c r="I263" s="74">
        <f>IF(OR('Monthly Activity Log'!K194="In Progress",'Monthly Activity Log'!K194="Pending"),'Monthly Activity Log'!B194,"")</f>
        <v/>
      </c>
      <c r="J263" s="74">
        <f>IF(OR('Monthly Activity Log'!K194="In Progress",'Monthly Activity Log'!K194="Pending"),'Monthly Activity Log'!L194,"")</f>
        <v/>
      </c>
    </row>
    <row r="264" ht="15.75" customHeight="1" s="65">
      <c r="A264" s="70">
        <f>IF(OR('Monthly Activity Log'!K195="In Progress",'Monthly Activity Log'!K195="Pending"),'Monthly Activity Log'!H195,"")</f>
        <v/>
      </c>
      <c r="B264" s="70">
        <f>IF(OR('Monthly Activity Log'!K195="In Progress",'Monthly Activity Log'!K195="Pending"),'Monthly Activity Log'!C195,"")</f>
        <v/>
      </c>
      <c r="C264" s="70">
        <f>IF(OR('Monthly Activity Log'!K195="In Progress",'Monthly Activity Log'!K195="Pending"),'Monthly Activity Log'!E195,"")</f>
        <v/>
      </c>
      <c r="D264" s="70">
        <f>IF(OR('Monthly Activity Log'!K195="In Progress",'Monthly Activity Log'!K195="Pending"),'Monthly Activity Log'!F195,"")</f>
        <v/>
      </c>
      <c r="E264" s="70">
        <f>IF(OR('Monthly Activity Log'!K195="In Progress",'Monthly Activity Log'!K195="Pending"),'Monthly Activity Log'!G195,"")</f>
        <v/>
      </c>
      <c r="F264" s="70">
        <f>IF(OR('Monthly Activity Log'!K195="In Progress",'Monthly Activity Log'!K195="Pending"),'Monthly Activity Log'!I195,"")</f>
        <v/>
      </c>
      <c r="G264" s="70">
        <f>IF(OR('Monthly Activity Log'!K195="In Progress",'Monthly Activity Log'!K195="Pending"),'Monthly Activity Log'!J195,"")</f>
        <v/>
      </c>
      <c r="H264" s="70">
        <f>IF(OR('Monthly Activity Log'!K195="In Progress",'Monthly Activity Log'!K195="Pending"),'Monthly Activity Log'!K195,"")</f>
        <v/>
      </c>
      <c r="I264" s="70">
        <f>IF(OR('Monthly Activity Log'!K195="In Progress",'Monthly Activity Log'!K195="Pending"),'Monthly Activity Log'!B195,"")</f>
        <v/>
      </c>
      <c r="J264" s="70">
        <f>IF(OR('Monthly Activity Log'!K195="In Progress",'Monthly Activity Log'!K195="Pending"),'Monthly Activity Log'!L195,"")</f>
        <v/>
      </c>
    </row>
    <row r="265" ht="15.75" customHeight="1" s="65">
      <c r="A265" s="74">
        <f>IF(OR('Monthly Activity Log'!K196="In Progress",'Monthly Activity Log'!K196="Pending"),'Monthly Activity Log'!H196,"")</f>
        <v/>
      </c>
      <c r="B265" s="74">
        <f>IF(OR('Monthly Activity Log'!K196="In Progress",'Monthly Activity Log'!K196="Pending"),'Monthly Activity Log'!C196,"")</f>
        <v/>
      </c>
      <c r="C265" s="74">
        <f>IF(OR('Monthly Activity Log'!K196="In Progress",'Monthly Activity Log'!K196="Pending"),'Monthly Activity Log'!E196,"")</f>
        <v/>
      </c>
      <c r="D265" s="74">
        <f>IF(OR('Monthly Activity Log'!K196="In Progress",'Monthly Activity Log'!K196="Pending"),'Monthly Activity Log'!F196,"")</f>
        <v/>
      </c>
      <c r="E265" s="74">
        <f>IF(OR('Monthly Activity Log'!K196="In Progress",'Monthly Activity Log'!K196="Pending"),'Monthly Activity Log'!G196,"")</f>
        <v/>
      </c>
      <c r="F265" s="74">
        <f>IF(OR('Monthly Activity Log'!K196="In Progress",'Monthly Activity Log'!K196="Pending"),'Monthly Activity Log'!I196,"")</f>
        <v/>
      </c>
      <c r="G265" s="74">
        <f>IF(OR('Monthly Activity Log'!K196="In Progress",'Monthly Activity Log'!K196="Pending"),'Monthly Activity Log'!J196,"")</f>
        <v/>
      </c>
      <c r="H265" s="74">
        <f>IF(OR('Monthly Activity Log'!K196="In Progress",'Monthly Activity Log'!K196="Pending"),'Monthly Activity Log'!K196,"")</f>
        <v/>
      </c>
      <c r="I265" s="74">
        <f>IF(OR('Monthly Activity Log'!K196="In Progress",'Monthly Activity Log'!K196="Pending"),'Monthly Activity Log'!B196,"")</f>
        <v/>
      </c>
      <c r="J265" s="74">
        <f>IF(OR('Monthly Activity Log'!K196="In Progress",'Monthly Activity Log'!K196="Pending"),'Monthly Activity Log'!L196,"")</f>
        <v/>
      </c>
    </row>
    <row r="266" ht="15.75" customHeight="1" s="65">
      <c r="A266" s="70">
        <f>IF(OR('Monthly Activity Log'!K197="In Progress",'Monthly Activity Log'!K197="Pending"),'Monthly Activity Log'!H197,"")</f>
        <v/>
      </c>
      <c r="B266" s="70">
        <f>IF(OR('Monthly Activity Log'!K197="In Progress",'Monthly Activity Log'!K197="Pending"),'Monthly Activity Log'!C197,"")</f>
        <v/>
      </c>
      <c r="C266" s="70">
        <f>IF(OR('Monthly Activity Log'!K197="In Progress",'Monthly Activity Log'!K197="Pending"),'Monthly Activity Log'!E197,"")</f>
        <v/>
      </c>
      <c r="D266" s="70">
        <f>IF(OR('Monthly Activity Log'!K197="In Progress",'Monthly Activity Log'!K197="Pending"),'Monthly Activity Log'!F197,"")</f>
        <v/>
      </c>
      <c r="E266" s="70">
        <f>IF(OR('Monthly Activity Log'!K197="In Progress",'Monthly Activity Log'!K197="Pending"),'Monthly Activity Log'!G197,"")</f>
        <v/>
      </c>
      <c r="F266" s="70">
        <f>IF(OR('Monthly Activity Log'!K197="In Progress",'Monthly Activity Log'!K197="Pending"),'Monthly Activity Log'!I197,"")</f>
        <v/>
      </c>
      <c r="G266" s="70">
        <f>IF(OR('Monthly Activity Log'!K197="In Progress",'Monthly Activity Log'!K197="Pending"),'Monthly Activity Log'!J197,"")</f>
        <v/>
      </c>
      <c r="H266" s="70">
        <f>IF(OR('Monthly Activity Log'!K197="In Progress",'Monthly Activity Log'!K197="Pending"),'Monthly Activity Log'!K197,"")</f>
        <v/>
      </c>
      <c r="I266" s="70">
        <f>IF(OR('Monthly Activity Log'!K197="In Progress",'Monthly Activity Log'!K197="Pending"),'Monthly Activity Log'!B197,"")</f>
        <v/>
      </c>
      <c r="J266" s="70">
        <f>IF(OR('Monthly Activity Log'!K197="In Progress",'Monthly Activity Log'!K197="Pending"),'Monthly Activity Log'!L197,"")</f>
        <v/>
      </c>
    </row>
    <row r="267" ht="15.75" customHeight="1" s="65">
      <c r="A267" s="74">
        <f>IF(OR('Monthly Activity Log'!K198="In Progress",'Monthly Activity Log'!K198="Pending"),'Monthly Activity Log'!H198,"")</f>
        <v/>
      </c>
      <c r="B267" s="74">
        <f>IF(OR('Monthly Activity Log'!K198="In Progress",'Monthly Activity Log'!K198="Pending"),'Monthly Activity Log'!C198,"")</f>
        <v/>
      </c>
      <c r="C267" s="74">
        <f>IF(OR('Monthly Activity Log'!K198="In Progress",'Monthly Activity Log'!K198="Pending"),'Monthly Activity Log'!E198,"")</f>
        <v/>
      </c>
      <c r="D267" s="74">
        <f>IF(OR('Monthly Activity Log'!K198="In Progress",'Monthly Activity Log'!K198="Pending"),'Monthly Activity Log'!F198,"")</f>
        <v/>
      </c>
      <c r="E267" s="74">
        <f>IF(OR('Monthly Activity Log'!K198="In Progress",'Monthly Activity Log'!K198="Pending"),'Monthly Activity Log'!G198,"")</f>
        <v/>
      </c>
      <c r="F267" s="74">
        <f>IF(OR('Monthly Activity Log'!K198="In Progress",'Monthly Activity Log'!K198="Pending"),'Monthly Activity Log'!I198,"")</f>
        <v/>
      </c>
      <c r="G267" s="74">
        <f>IF(OR('Monthly Activity Log'!K198="In Progress",'Monthly Activity Log'!K198="Pending"),'Monthly Activity Log'!J198,"")</f>
        <v/>
      </c>
      <c r="H267" s="74">
        <f>IF(OR('Monthly Activity Log'!K198="In Progress",'Monthly Activity Log'!K198="Pending"),'Monthly Activity Log'!K198,"")</f>
        <v/>
      </c>
      <c r="I267" s="74">
        <f>IF(OR('Monthly Activity Log'!K198="In Progress",'Monthly Activity Log'!K198="Pending"),'Monthly Activity Log'!B198,"")</f>
        <v/>
      </c>
      <c r="J267" s="74">
        <f>IF(OR('Monthly Activity Log'!K198="In Progress",'Monthly Activity Log'!K198="Pending"),'Monthly Activity Log'!L198,"")</f>
        <v/>
      </c>
    </row>
    <row r="268" ht="15.75" customHeight="1" s="65">
      <c r="A268" s="70">
        <f>IF(OR('Monthly Activity Log'!K199="In Progress",'Monthly Activity Log'!K199="Pending"),'Monthly Activity Log'!H199,"")</f>
        <v/>
      </c>
      <c r="B268" s="70">
        <f>IF(OR('Monthly Activity Log'!K199="In Progress",'Monthly Activity Log'!K199="Pending"),'Monthly Activity Log'!C199,"")</f>
        <v/>
      </c>
      <c r="C268" s="70">
        <f>IF(OR('Monthly Activity Log'!K199="In Progress",'Monthly Activity Log'!K199="Pending"),'Monthly Activity Log'!E199,"")</f>
        <v/>
      </c>
      <c r="D268" s="70">
        <f>IF(OR('Monthly Activity Log'!K199="In Progress",'Monthly Activity Log'!K199="Pending"),'Monthly Activity Log'!F199,"")</f>
        <v/>
      </c>
      <c r="E268" s="70">
        <f>IF(OR('Monthly Activity Log'!K199="In Progress",'Monthly Activity Log'!K199="Pending"),'Monthly Activity Log'!G199,"")</f>
        <v/>
      </c>
      <c r="F268" s="70">
        <f>IF(OR('Monthly Activity Log'!K199="In Progress",'Monthly Activity Log'!K199="Pending"),'Monthly Activity Log'!I199,"")</f>
        <v/>
      </c>
      <c r="G268" s="70">
        <f>IF(OR('Monthly Activity Log'!K199="In Progress",'Monthly Activity Log'!K199="Pending"),'Monthly Activity Log'!J199,"")</f>
        <v/>
      </c>
      <c r="H268" s="70">
        <f>IF(OR('Monthly Activity Log'!K199="In Progress",'Monthly Activity Log'!K199="Pending"),'Monthly Activity Log'!K199,"")</f>
        <v/>
      </c>
      <c r="I268" s="70">
        <f>IF(OR('Monthly Activity Log'!K199="In Progress",'Monthly Activity Log'!K199="Pending"),'Monthly Activity Log'!B199,"")</f>
        <v/>
      </c>
      <c r="J268" s="70">
        <f>IF(OR('Monthly Activity Log'!K199="In Progress",'Monthly Activity Log'!K199="Pending"),'Monthly Activity Log'!L199,"")</f>
        <v/>
      </c>
    </row>
    <row r="269" ht="15.75" customHeight="1" s="65">
      <c r="A269" s="74">
        <f>IF(OR('Monthly Activity Log'!K200="In Progress",'Monthly Activity Log'!K200="Pending"),'Monthly Activity Log'!H200,"")</f>
        <v/>
      </c>
      <c r="B269" s="74">
        <f>IF(OR('Monthly Activity Log'!K200="In Progress",'Monthly Activity Log'!K200="Pending"),'Monthly Activity Log'!C200,"")</f>
        <v/>
      </c>
      <c r="C269" s="74">
        <f>IF(OR('Monthly Activity Log'!K200="In Progress",'Monthly Activity Log'!K200="Pending"),'Monthly Activity Log'!E200,"")</f>
        <v/>
      </c>
      <c r="D269" s="74">
        <f>IF(OR('Monthly Activity Log'!K200="In Progress",'Monthly Activity Log'!K200="Pending"),'Monthly Activity Log'!F200,"")</f>
        <v/>
      </c>
      <c r="E269" s="74">
        <f>IF(OR('Monthly Activity Log'!K200="In Progress",'Monthly Activity Log'!K200="Pending"),'Monthly Activity Log'!G200,"")</f>
        <v/>
      </c>
      <c r="F269" s="74">
        <f>IF(OR('Monthly Activity Log'!K200="In Progress",'Monthly Activity Log'!K200="Pending"),'Monthly Activity Log'!I200,"")</f>
        <v/>
      </c>
      <c r="G269" s="74">
        <f>IF(OR('Monthly Activity Log'!K200="In Progress",'Monthly Activity Log'!K200="Pending"),'Monthly Activity Log'!J200,"")</f>
        <v/>
      </c>
      <c r="H269" s="74">
        <f>IF(OR('Monthly Activity Log'!K200="In Progress",'Monthly Activity Log'!K200="Pending"),'Monthly Activity Log'!K200,"")</f>
        <v/>
      </c>
      <c r="I269" s="74">
        <f>IF(OR('Monthly Activity Log'!K200="In Progress",'Monthly Activity Log'!K200="Pending"),'Monthly Activity Log'!B200,"")</f>
        <v/>
      </c>
      <c r="J269" s="74">
        <f>IF(OR('Monthly Activity Log'!K200="In Progress",'Monthly Activity Log'!K200="Pending"),'Monthly Activity Log'!L200,"")</f>
        <v/>
      </c>
    </row>
    <row r="270" ht="15.75" customHeight="1" s="65">
      <c r="A270" s="70">
        <f>IF(OR('Monthly Activity Log'!K201="In Progress",'Monthly Activity Log'!K201="Pending"),'Monthly Activity Log'!H201,"")</f>
        <v/>
      </c>
      <c r="B270" s="70">
        <f>IF(OR('Monthly Activity Log'!K201="In Progress",'Monthly Activity Log'!K201="Pending"),'Monthly Activity Log'!C201,"")</f>
        <v/>
      </c>
      <c r="C270" s="70">
        <f>IF(OR('Monthly Activity Log'!K201="In Progress",'Monthly Activity Log'!K201="Pending"),'Monthly Activity Log'!E201,"")</f>
        <v/>
      </c>
      <c r="D270" s="70">
        <f>IF(OR('Monthly Activity Log'!K201="In Progress",'Monthly Activity Log'!K201="Pending"),'Monthly Activity Log'!F201,"")</f>
        <v/>
      </c>
      <c r="E270" s="70">
        <f>IF(OR('Monthly Activity Log'!K201="In Progress",'Monthly Activity Log'!K201="Pending"),'Monthly Activity Log'!G201,"")</f>
        <v/>
      </c>
      <c r="F270" s="70">
        <f>IF(OR('Monthly Activity Log'!K201="In Progress",'Monthly Activity Log'!K201="Pending"),'Monthly Activity Log'!I201,"")</f>
        <v/>
      </c>
      <c r="G270" s="70">
        <f>IF(OR('Monthly Activity Log'!K201="In Progress",'Monthly Activity Log'!K201="Pending"),'Monthly Activity Log'!J201,"")</f>
        <v/>
      </c>
      <c r="H270" s="70">
        <f>IF(OR('Monthly Activity Log'!K201="In Progress",'Monthly Activity Log'!K201="Pending"),'Monthly Activity Log'!K201,"")</f>
        <v/>
      </c>
      <c r="I270" s="70">
        <f>IF(OR('Monthly Activity Log'!K201="In Progress",'Monthly Activity Log'!K201="Pending"),'Monthly Activity Log'!B201,"")</f>
        <v/>
      </c>
      <c r="J270" s="70">
        <f>IF(OR('Monthly Activity Log'!K201="In Progress",'Monthly Activity Log'!K201="Pending"),'Monthly Activity Log'!L201,"")</f>
        <v/>
      </c>
    </row>
    <row r="271" ht="15.75" customHeight="1" s="65">
      <c r="A271" s="74">
        <f>IF(OR('Monthly Activity Log'!K202="In Progress",'Monthly Activity Log'!K202="Pending"),'Monthly Activity Log'!H202,"")</f>
        <v/>
      </c>
      <c r="B271" s="74">
        <f>IF(OR('Monthly Activity Log'!K202="In Progress",'Monthly Activity Log'!K202="Pending"),'Monthly Activity Log'!C202,"")</f>
        <v/>
      </c>
      <c r="C271" s="74">
        <f>IF(OR('Monthly Activity Log'!K202="In Progress",'Monthly Activity Log'!K202="Pending"),'Monthly Activity Log'!E202,"")</f>
        <v/>
      </c>
      <c r="D271" s="74">
        <f>IF(OR('Monthly Activity Log'!K202="In Progress",'Monthly Activity Log'!K202="Pending"),'Monthly Activity Log'!F202,"")</f>
        <v/>
      </c>
      <c r="E271" s="74">
        <f>IF(OR('Monthly Activity Log'!K202="In Progress",'Monthly Activity Log'!K202="Pending"),'Monthly Activity Log'!G202,"")</f>
        <v/>
      </c>
      <c r="F271" s="74">
        <f>IF(OR('Monthly Activity Log'!K202="In Progress",'Monthly Activity Log'!K202="Pending"),'Monthly Activity Log'!I202,"")</f>
        <v/>
      </c>
      <c r="G271" s="74">
        <f>IF(OR('Monthly Activity Log'!K202="In Progress",'Monthly Activity Log'!K202="Pending"),'Monthly Activity Log'!J202,"")</f>
        <v/>
      </c>
      <c r="H271" s="74">
        <f>IF(OR('Monthly Activity Log'!K202="In Progress",'Monthly Activity Log'!K202="Pending"),'Monthly Activity Log'!K202,"")</f>
        <v/>
      </c>
      <c r="I271" s="74">
        <f>IF(OR('Monthly Activity Log'!K202="In Progress",'Monthly Activity Log'!K202="Pending"),'Monthly Activity Log'!B202,"")</f>
        <v/>
      </c>
      <c r="J271" s="74">
        <f>IF(OR('Monthly Activity Log'!K202="In Progress",'Monthly Activity Log'!K202="Pending"),'Monthly Activity Log'!L202,"")</f>
        <v/>
      </c>
    </row>
    <row r="272" ht="15.75" customHeight="1" s="65">
      <c r="A272" s="70">
        <f>IF(OR('Monthly Activity Log'!K203="In Progress",'Monthly Activity Log'!K203="Pending"),'Monthly Activity Log'!H203,"")</f>
        <v/>
      </c>
      <c r="B272" s="70">
        <f>IF(OR('Monthly Activity Log'!K203="In Progress",'Monthly Activity Log'!K203="Pending"),'Monthly Activity Log'!C203,"")</f>
        <v/>
      </c>
      <c r="C272" s="70">
        <f>IF(OR('Monthly Activity Log'!K203="In Progress",'Monthly Activity Log'!K203="Pending"),'Monthly Activity Log'!E203,"")</f>
        <v/>
      </c>
      <c r="D272" s="70">
        <f>IF(OR('Monthly Activity Log'!K203="In Progress",'Monthly Activity Log'!K203="Pending"),'Monthly Activity Log'!F203,"")</f>
        <v/>
      </c>
      <c r="E272" s="70">
        <f>IF(OR('Monthly Activity Log'!K203="In Progress",'Monthly Activity Log'!K203="Pending"),'Monthly Activity Log'!G203,"")</f>
        <v/>
      </c>
      <c r="F272" s="70">
        <f>IF(OR('Monthly Activity Log'!K203="In Progress",'Monthly Activity Log'!K203="Pending"),'Monthly Activity Log'!I203,"")</f>
        <v/>
      </c>
      <c r="G272" s="70">
        <f>IF(OR('Monthly Activity Log'!K203="In Progress",'Monthly Activity Log'!K203="Pending"),'Monthly Activity Log'!J203,"")</f>
        <v/>
      </c>
      <c r="H272" s="70">
        <f>IF(OR('Monthly Activity Log'!K203="In Progress",'Monthly Activity Log'!K203="Pending"),'Monthly Activity Log'!K203,"")</f>
        <v/>
      </c>
      <c r="I272" s="70">
        <f>IF(OR('Monthly Activity Log'!K203="In Progress",'Monthly Activity Log'!K203="Pending"),'Monthly Activity Log'!B203,"")</f>
        <v/>
      </c>
      <c r="J272" s="70">
        <f>IF(OR('Monthly Activity Log'!K203="In Progress",'Monthly Activity Log'!K203="Pending"),'Monthly Activity Log'!L203,"")</f>
        <v/>
      </c>
    </row>
  </sheetData>
  <mergeCells count="53">
    <mergeCell ref="A47:J47"/>
    <mergeCell ref="A23:J23"/>
    <mergeCell ref="A14:J14"/>
    <mergeCell ref="G64:J64"/>
    <mergeCell ref="G26:J26"/>
    <mergeCell ref="G35:J35"/>
    <mergeCell ref="G51:J51"/>
    <mergeCell ref="G20:J20"/>
    <mergeCell ref="G29:J29"/>
    <mergeCell ref="G16:J16"/>
    <mergeCell ref="G25:J25"/>
    <mergeCell ref="G41:J41"/>
    <mergeCell ref="G32:J32"/>
    <mergeCell ref="G50:J50"/>
    <mergeCell ref="A63:J63"/>
    <mergeCell ref="G44:J44"/>
    <mergeCell ref="G60:J60"/>
    <mergeCell ref="G40:J40"/>
    <mergeCell ref="A31:J31"/>
    <mergeCell ref="G56:J56"/>
    <mergeCell ref="G43:J43"/>
    <mergeCell ref="A39:J39"/>
    <mergeCell ref="A15:J15"/>
    <mergeCell ref="G21:J21"/>
    <mergeCell ref="G52:J52"/>
    <mergeCell ref="G59:J59"/>
    <mergeCell ref="G27:J27"/>
    <mergeCell ref="G67:J67"/>
    <mergeCell ref="G36:J36"/>
    <mergeCell ref="G42:J42"/>
    <mergeCell ref="G61:J61"/>
    <mergeCell ref="G65:J65"/>
    <mergeCell ref="A1:J1"/>
    <mergeCell ref="G48:J48"/>
    <mergeCell ref="G17:J17"/>
    <mergeCell ref="G19:J19"/>
    <mergeCell ref="G37:J37"/>
    <mergeCell ref="G57:J57"/>
    <mergeCell ref="G28:J28"/>
    <mergeCell ref="G66:J66"/>
    <mergeCell ref="G18:J18"/>
    <mergeCell ref="G53:J53"/>
    <mergeCell ref="G69:J69"/>
    <mergeCell ref="G49:J49"/>
    <mergeCell ref="A2:J2"/>
    <mergeCell ref="G34:J34"/>
    <mergeCell ref="A55:J55"/>
    <mergeCell ref="G24:J24"/>
    <mergeCell ref="G68:J68"/>
    <mergeCell ref="G33:J33"/>
    <mergeCell ref="G58:J58"/>
    <mergeCell ref="A71:J71"/>
    <mergeCell ref="G45:J45"/>
  </mergeCells>
  <conditionalFormatting sqref="H73:H273">
    <cfRule type="cellIs" rank="0" priority="2" equalAverage="0" operator="equal" aboveAverage="0" dxfId="1" text="" percent="0" bottom="0">
      <formula>"In Progress"</formula>
    </cfRule>
    <cfRule type="cellIs" rank="0" priority="3" equalAverage="0" operator="equal" aboveAverage="0" dxfId="2" text="" percent="0" bottom="0">
      <formula>"Pending"</formula>
    </cfRule>
  </conditionalFormatting>
  <dataValidations count="1">
    <dataValidation sqref="B3" showDropDown="0" showInputMessage="0" showErrorMessage="0" allowBlank="0" type="list" errorStyle="stop" operator="between">
      <formula1>"All,January,February,March,April,May,June,July,August,September,October,November,December"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H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64" min="1" max="1"/>
    <col width="24" customWidth="1" style="64" min="2" max="2"/>
    <col width="14" customWidth="1" style="64" min="3" max="6"/>
    <col width="16" customWidth="1" style="64" min="7" max="7"/>
    <col width="18" customWidth="1" style="64" min="8" max="8"/>
  </cols>
  <sheetData>
    <row r="1" ht="36" customHeight="1" s="65">
      <c r="A1" s="110" t="inlineStr">
        <is>
          <t>BA Team – Monthly Activity Report</t>
        </is>
      </c>
    </row>
    <row r="2" ht="19.5" customHeight="1" s="65">
      <c r="A2" s="111" t="inlineStr">
        <is>
          <t>Reporting Month:</t>
        </is>
      </c>
      <c r="B2" s="112">
        <f>TEXT(TODAY(),"MMMM YYYY")</f>
        <v/>
      </c>
    </row>
    <row r="3" ht="19.5" customHeight="1" s="65">
      <c r="A3" s="111" t="inlineStr">
        <is>
          <t>Prepared by:</t>
        </is>
      </c>
      <c r="B3" s="81" t="inlineStr">
        <is>
          <t>Team Lead</t>
        </is>
      </c>
    </row>
    <row r="4" ht="19.5" customHeight="1" s="65">
      <c r="A4" s="111" t="inlineStr">
        <is>
          <t>Date Prepared:</t>
        </is>
      </c>
      <c r="B4" s="113">
        <f>TODAY()</f>
        <v/>
      </c>
    </row>
    <row r="6" ht="24" customHeight="1" s="65">
      <c r="A6" s="114" t="inlineStr">
        <is>
          <t>1.  EXECUTIVE SUMMARY</t>
        </is>
      </c>
    </row>
    <row r="7" ht="21.75" customHeight="1" s="65">
      <c r="A7" s="115" t="inlineStr">
        <is>
          <t>Total Activities Logged</t>
        </is>
      </c>
      <c r="B7" s="93" t="n"/>
      <c r="C7" s="93" t="n"/>
      <c r="D7" s="93" t="n"/>
      <c r="E7" s="93" t="n"/>
      <c r="F7" s="116">
        <f>'Summary Dashboard'!A7</f>
        <v/>
      </c>
      <c r="G7" s="93" t="n"/>
      <c r="H7" s="93" t="n"/>
    </row>
    <row r="8" ht="21.75" customHeight="1" s="65">
      <c r="A8" s="117" t="inlineStr">
        <is>
          <t>Completed</t>
        </is>
      </c>
      <c r="B8" s="93" t="n"/>
      <c r="C8" s="93" t="n"/>
      <c r="D8" s="93" t="n"/>
      <c r="E8" s="93" t="n"/>
      <c r="F8" s="118">
        <f>'Summary Dashboard'!C7</f>
        <v/>
      </c>
      <c r="G8" s="93" t="n"/>
      <c r="H8" s="93" t="n"/>
    </row>
    <row r="9" ht="21.75" customHeight="1" s="65">
      <c r="A9" s="119" t="inlineStr">
        <is>
          <t>In Progress</t>
        </is>
      </c>
      <c r="B9" s="93" t="n"/>
      <c r="C9" s="93" t="n"/>
      <c r="D9" s="93" t="n"/>
      <c r="E9" s="93" t="n"/>
      <c r="F9" s="120">
        <f>'Summary Dashboard'!E7</f>
        <v/>
      </c>
      <c r="G9" s="93" t="n"/>
      <c r="H9" s="93" t="n"/>
    </row>
    <row r="10" ht="21.75" customHeight="1" s="65">
      <c r="A10" s="121" t="inlineStr">
        <is>
          <t>Pending</t>
        </is>
      </c>
      <c r="B10" s="93" t="n"/>
      <c r="C10" s="93" t="n"/>
      <c r="D10" s="93" t="n"/>
      <c r="E10" s="93" t="n"/>
      <c r="F10" s="122">
        <f>'Summary Dashboard'!G7</f>
        <v/>
      </c>
      <c r="G10" s="93" t="n"/>
      <c r="H10" s="93" t="n"/>
    </row>
    <row r="11" ht="21.75" customHeight="1" s="65">
      <c r="A11" s="123" t="inlineStr">
        <is>
          <t>Completion Rate</t>
        </is>
      </c>
      <c r="B11" s="93" t="n"/>
      <c r="C11" s="93" t="n"/>
      <c r="D11" s="93" t="n"/>
      <c r="E11" s="93" t="n"/>
      <c r="F11" s="124">
        <f>'Summary Dashboard'!I7</f>
        <v/>
      </c>
      <c r="G11" s="93" t="n"/>
      <c r="H11" s="93" t="n"/>
    </row>
    <row r="12" ht="21.75" customHeight="1" s="65">
      <c r="A12" s="125" t="inlineStr">
        <is>
          <t>Active Team Members</t>
        </is>
      </c>
      <c r="B12" s="93" t="n"/>
      <c r="C12" s="93" t="n"/>
      <c r="D12" s="93" t="n"/>
      <c r="E12" s="93" t="n"/>
      <c r="F12" s="126">
        <f>IFERROR('Summary Dashboard'!F12,0)</f>
        <v/>
      </c>
      <c r="G12" s="93" t="n"/>
      <c r="H12" s="93" t="n"/>
    </row>
    <row r="14" ht="24" customHeight="1" s="65">
      <c r="A14" s="114" t="inlineStr">
        <is>
          <t>2.  ACTIVITIES BY TEAM MEMBER</t>
        </is>
      </c>
    </row>
    <row r="15" ht="21.75" customHeight="1" s="65">
      <c r="A15" s="94" t="inlineStr">
        <is>
          <t>Team Member</t>
        </is>
      </c>
      <c r="B15" s="94" t="inlineStr">
        <is>
          <t>Total</t>
        </is>
      </c>
      <c r="C15" s="94" t="inlineStr">
        <is>
          <t>Completed</t>
        </is>
      </c>
      <c r="D15" s="94" t="inlineStr">
        <is>
          <t>In Progress</t>
        </is>
      </c>
      <c r="E15" s="94" t="inlineStr">
        <is>
          <t>Pending</t>
        </is>
      </c>
      <c r="F15" s="94" t="inlineStr">
        <is>
          <t>% Done</t>
        </is>
      </c>
      <c r="G15" s="107" t="n"/>
      <c r="H15" s="93" t="n"/>
    </row>
    <row r="16" ht="18" customHeight="1" s="65">
      <c r="A16" s="95" t="inlineStr">
        <is>
          <t>Shennaz</t>
        </is>
      </c>
      <c r="B16" s="96">
        <f>'Summary Dashboard'!B12</f>
        <v/>
      </c>
      <c r="C16" s="96">
        <f>'Summary Dashboard'!C12</f>
        <v/>
      </c>
      <c r="D16" s="96">
        <f>'Summary Dashboard'!D12</f>
        <v/>
      </c>
      <c r="E16" s="96">
        <f>'Summary Dashboard'!E12</f>
        <v/>
      </c>
      <c r="F16" s="97">
        <f>'Summary Dashboard'!F12</f>
        <v/>
      </c>
      <c r="G16" s="108" t="n"/>
      <c r="H16" s="93" t="n"/>
    </row>
    <row r="17" ht="18" customHeight="1" s="65">
      <c r="A17" s="98" t="inlineStr">
        <is>
          <t>Nyameka</t>
        </is>
      </c>
      <c r="B17" s="99">
        <f>'Summary Dashboard'!B13</f>
        <v/>
      </c>
      <c r="C17" s="99">
        <f>'Summary Dashboard'!C13</f>
        <v/>
      </c>
      <c r="D17" s="99">
        <f>'Summary Dashboard'!D13</f>
        <v/>
      </c>
      <c r="E17" s="99">
        <f>'Summary Dashboard'!E13</f>
        <v/>
      </c>
      <c r="F17" s="100">
        <f>'Summary Dashboard'!F13</f>
        <v/>
      </c>
      <c r="G17" s="109" t="n"/>
      <c r="H17" s="93" t="n"/>
    </row>
    <row r="18" ht="18" customHeight="1" s="65">
      <c r="A18" s="95" t="inlineStr">
        <is>
          <t>Lindiwe</t>
        </is>
      </c>
      <c r="B18" s="96">
        <f>'Summary Dashboard'!B14</f>
        <v/>
      </c>
      <c r="C18" s="96">
        <f>'Summary Dashboard'!C14</f>
        <v/>
      </c>
      <c r="D18" s="96">
        <f>'Summary Dashboard'!D14</f>
        <v/>
      </c>
      <c r="E18" s="96">
        <f>'Summary Dashboard'!E14</f>
        <v/>
      </c>
      <c r="F18" s="97">
        <f>'Summary Dashboard'!F14</f>
        <v/>
      </c>
      <c r="G18" s="108" t="n"/>
      <c r="H18" s="93" t="n"/>
    </row>
    <row r="19" ht="18" customHeight="1" s="65">
      <c r="A19" s="98" t="inlineStr">
        <is>
          <t>T A Willems</t>
        </is>
      </c>
      <c r="B19" s="99">
        <f>'Summary Dashboard'!B15</f>
        <v/>
      </c>
      <c r="C19" s="99">
        <f>'Summary Dashboard'!C15</f>
        <v/>
      </c>
      <c r="D19" s="99">
        <f>'Summary Dashboard'!D15</f>
        <v/>
      </c>
      <c r="E19" s="99">
        <f>'Summary Dashboard'!E15</f>
        <v/>
      </c>
      <c r="F19" s="100">
        <f>'Summary Dashboard'!F15</f>
        <v/>
      </c>
      <c r="G19" s="109" t="n"/>
      <c r="H19" s="93" t="n"/>
    </row>
    <row r="20" ht="18" customHeight="1" s="65">
      <c r="A20" s="95" t="inlineStr">
        <is>
          <t>Mphatheleni Matidze</t>
        </is>
      </c>
      <c r="B20" s="96">
        <f>'Summary Dashboard'!B16</f>
        <v/>
      </c>
      <c r="C20" s="96">
        <f>'Summary Dashboard'!C16</f>
        <v/>
      </c>
      <c r="D20" s="96">
        <f>'Summary Dashboard'!D16</f>
        <v/>
      </c>
      <c r="E20" s="96">
        <f>'Summary Dashboard'!E16</f>
        <v/>
      </c>
      <c r="F20" s="97">
        <f>'Summary Dashboard'!F16</f>
        <v/>
      </c>
      <c r="G20" s="108" t="n"/>
      <c r="H20" s="93" t="n"/>
    </row>
    <row r="22" ht="24" customHeight="1" s="65">
      <c r="A22" s="114" t="inlineStr">
        <is>
          <t>3.  ACTIVITIES BY CATEGORY</t>
        </is>
      </c>
    </row>
    <row r="23" ht="21.75" customHeight="1" s="65">
      <c r="A23" s="94" t="inlineStr">
        <is>
          <t>Category</t>
        </is>
      </c>
      <c r="B23" s="94" t="inlineStr">
        <is>
          <t>Count</t>
        </is>
      </c>
      <c r="C23" s="94" t="inlineStr">
        <is>
          <t>% of Total</t>
        </is>
      </c>
      <c r="D23" s="107" t="n"/>
      <c r="E23" s="93" t="n"/>
      <c r="F23" s="93" t="n"/>
      <c r="G23" s="93" t="n"/>
      <c r="H23" s="93" t="n"/>
    </row>
    <row r="24" ht="15.75" customHeight="1" s="65">
      <c r="A24" s="79" t="inlineStr">
        <is>
          <t>Project</t>
        </is>
      </c>
      <c r="B24" s="96">
        <f>'Summary Dashboard'!B21</f>
        <v/>
      </c>
      <c r="C24" s="97">
        <f>'Summary Dashboard'!C21</f>
        <v/>
      </c>
      <c r="D24" s="108" t="n"/>
      <c r="E24" s="93" t="n"/>
      <c r="F24" s="93" t="n"/>
      <c r="G24" s="93" t="n"/>
      <c r="H24" s="93" t="n"/>
    </row>
    <row r="25" ht="15.75" customHeight="1" s="65">
      <c r="A25" s="81" t="inlineStr">
        <is>
          <t>Incident/Bug Fix</t>
        </is>
      </c>
      <c r="B25" s="99">
        <f>'Summary Dashboard'!B22</f>
        <v/>
      </c>
      <c r="C25" s="100">
        <f>'Summary Dashboard'!C22</f>
        <v/>
      </c>
      <c r="D25" s="109" t="n"/>
      <c r="E25" s="93" t="n"/>
      <c r="F25" s="93" t="n"/>
      <c r="G25" s="93" t="n"/>
      <c r="H25" s="93" t="n"/>
    </row>
    <row r="26" ht="15.75" customHeight="1" s="65">
      <c r="A26" s="79" t="inlineStr">
        <is>
          <t>Change Request</t>
        </is>
      </c>
      <c r="B26" s="96">
        <f>'Summary Dashboard'!B23</f>
        <v/>
      </c>
      <c r="C26" s="97">
        <f>'Summary Dashboard'!C23</f>
        <v/>
      </c>
      <c r="D26" s="108" t="n"/>
      <c r="E26" s="93" t="n"/>
      <c r="F26" s="93" t="n"/>
      <c r="G26" s="93" t="n"/>
      <c r="H26" s="93" t="n"/>
    </row>
    <row r="27" ht="15.75" customHeight="1" s="65">
      <c r="A27" s="81" t="inlineStr">
        <is>
          <t>User Support</t>
        </is>
      </c>
      <c r="B27" s="99">
        <f>'Summary Dashboard'!B24</f>
        <v/>
      </c>
      <c r="C27" s="100">
        <f>'Summary Dashboard'!C24</f>
        <v/>
      </c>
      <c r="D27" s="109" t="n"/>
      <c r="E27" s="93" t="n"/>
      <c r="F27" s="93" t="n"/>
      <c r="G27" s="93" t="n"/>
      <c r="H27" s="93" t="n"/>
    </row>
    <row r="28" ht="15.75" customHeight="1" s="65">
      <c r="A28" s="79" t="inlineStr">
        <is>
          <t>Admin/Config</t>
        </is>
      </c>
      <c r="B28" s="96">
        <f>'Summary Dashboard'!B25</f>
        <v/>
      </c>
      <c r="C28" s="97">
        <f>'Summary Dashboard'!C25</f>
        <v/>
      </c>
      <c r="D28" s="108" t="n"/>
      <c r="E28" s="93" t="n"/>
      <c r="F28" s="93" t="n"/>
      <c r="G28" s="93" t="n"/>
      <c r="H28" s="93" t="n"/>
    </row>
    <row r="29" ht="15.75" customHeight="1" s="65">
      <c r="A29" s="81" t="inlineStr">
        <is>
          <t>Reporting</t>
        </is>
      </c>
      <c r="B29" s="99">
        <f>'Summary Dashboard'!B26</f>
        <v/>
      </c>
      <c r="C29" s="100">
        <f>'Summary Dashboard'!C26</f>
        <v/>
      </c>
      <c r="D29" s="109" t="n"/>
      <c r="E29" s="93" t="n"/>
      <c r="F29" s="93" t="n"/>
      <c r="G29" s="93" t="n"/>
      <c r="H29" s="93" t="n"/>
    </row>
    <row r="30" ht="15.75" customHeight="1" s="65">
      <c r="A30" s="79" t="inlineStr">
        <is>
          <t>Mentoring</t>
        </is>
      </c>
      <c r="B30" s="96">
        <f>'Summary Dashboard'!B27</f>
        <v/>
      </c>
      <c r="C30" s="97">
        <f>'Summary Dashboard'!C27</f>
        <v/>
      </c>
      <c r="D30" s="108" t="n"/>
      <c r="E30" s="93" t="n"/>
      <c r="F30" s="93" t="n"/>
      <c r="G30" s="93" t="n"/>
      <c r="H30" s="93" t="n"/>
    </row>
    <row r="31" ht="15.75" customHeight="1" s="65">
      <c r="A31" s="81" t="inlineStr">
        <is>
          <t>Other</t>
        </is>
      </c>
      <c r="B31" s="99">
        <f>'Summary Dashboard'!B28</f>
        <v/>
      </c>
      <c r="C31" s="100">
        <f>'Summary Dashboard'!C28</f>
        <v/>
      </c>
      <c r="D31" s="109" t="n"/>
      <c r="E31" s="93" t="n"/>
      <c r="F31" s="93" t="n"/>
      <c r="G31" s="93" t="n"/>
      <c r="H31" s="93" t="n"/>
    </row>
    <row r="33" ht="24" customHeight="1" s="65">
      <c r="A33" s="114" t="inlineStr">
        <is>
          <t>4.  ACTIVITIES BY CLIENT</t>
        </is>
      </c>
    </row>
    <row r="34" ht="21.75" customHeight="1" s="65">
      <c r="A34" s="94" t="inlineStr">
        <is>
          <t>Client</t>
        </is>
      </c>
      <c r="B34" s="94" t="inlineStr">
        <is>
          <t>Total</t>
        </is>
      </c>
      <c r="C34" s="94" t="inlineStr">
        <is>
          <t>Completed</t>
        </is>
      </c>
      <c r="D34" s="94" t="inlineStr">
        <is>
          <t>In Progress</t>
        </is>
      </c>
      <c r="E34" s="94" t="inlineStr">
        <is>
          <t>Pending</t>
        </is>
      </c>
      <c r="F34" s="94" t="inlineStr">
        <is>
          <t>% Done</t>
        </is>
      </c>
      <c r="G34" s="107" t="n"/>
      <c r="H34" s="93" t="n"/>
    </row>
    <row r="35" ht="18" customHeight="1" s="65">
      <c r="A35" s="95" t="inlineStr">
        <is>
          <t>SANPC</t>
        </is>
      </c>
      <c r="B35" s="96">
        <f>'Client Report'!B5</f>
        <v/>
      </c>
      <c r="C35" s="96">
        <f>'Client Report'!C5</f>
        <v/>
      </c>
      <c r="D35" s="96">
        <f>'Client Report'!D5</f>
        <v/>
      </c>
      <c r="E35" s="96">
        <f>'Client Report'!E5</f>
        <v/>
      </c>
      <c r="F35" s="97">
        <f>'Client Report'!F5</f>
        <v/>
      </c>
      <c r="G35" s="108" t="n"/>
      <c r="H35" s="93" t="n"/>
    </row>
    <row r="36" ht="18" customHeight="1" s="65">
      <c r="A36" s="98" t="inlineStr">
        <is>
          <t>PetroSA</t>
        </is>
      </c>
      <c r="B36" s="99">
        <f>'Client Report'!B6</f>
        <v/>
      </c>
      <c r="C36" s="99">
        <f>'Client Report'!C6</f>
        <v/>
      </c>
      <c r="D36" s="99">
        <f>'Client Report'!D6</f>
        <v/>
      </c>
      <c r="E36" s="99">
        <f>'Client Report'!E6</f>
        <v/>
      </c>
      <c r="F36" s="100">
        <f>'Client Report'!F6</f>
        <v/>
      </c>
      <c r="G36" s="109" t="n"/>
      <c r="H36" s="93" t="n"/>
    </row>
    <row r="37" ht="18" customHeight="1" s="65">
      <c r="A37" s="95" t="inlineStr">
        <is>
          <t>PetroSA Ghana</t>
        </is>
      </c>
      <c r="B37" s="96">
        <f>'Client Report'!B7</f>
        <v/>
      </c>
      <c r="C37" s="96">
        <f>'Client Report'!C7</f>
        <v/>
      </c>
      <c r="D37" s="96">
        <f>'Client Report'!D7</f>
        <v/>
      </c>
      <c r="E37" s="96">
        <f>'Client Report'!E7</f>
        <v/>
      </c>
      <c r="F37" s="97">
        <f>'Client Report'!F7</f>
        <v/>
      </c>
      <c r="G37" s="108" t="n"/>
      <c r="H37" s="93" t="n"/>
    </row>
    <row r="38" ht="18" customHeight="1" s="65">
      <c r="A38" s="98" t="inlineStr">
        <is>
          <t>Legacy/CEF</t>
        </is>
      </c>
      <c r="B38" s="99">
        <f>'Client Report'!B8</f>
        <v/>
      </c>
      <c r="C38" s="99">
        <f>'Client Report'!C8</f>
        <v/>
      </c>
      <c r="D38" s="99">
        <f>'Client Report'!D8</f>
        <v/>
      </c>
      <c r="E38" s="99">
        <f>'Client Report'!E8</f>
        <v/>
      </c>
      <c r="F38" s="100">
        <f>'Client Report'!F8</f>
        <v/>
      </c>
      <c r="G38" s="109" t="n"/>
      <c r="H38" s="93" t="n"/>
    </row>
    <row r="39" ht="18" customHeight="1" s="65">
      <c r="A39" s="95" t="inlineStr">
        <is>
          <t>SANPC/SFF</t>
        </is>
      </c>
      <c r="B39" s="96">
        <f>'Client Report'!B9</f>
        <v/>
      </c>
      <c r="C39" s="96">
        <f>'Client Report'!C9</f>
        <v/>
      </c>
      <c r="D39" s="96">
        <f>'Client Report'!D9</f>
        <v/>
      </c>
      <c r="E39" s="96">
        <f>'Client Report'!E9</f>
        <v/>
      </c>
      <c r="F39" s="97">
        <f>'Client Report'!F9</f>
        <v/>
      </c>
      <c r="G39" s="108" t="n"/>
      <c r="H39" s="93" t="n"/>
    </row>
    <row r="40" ht="18" customHeight="1" s="65">
      <c r="A40" s="98" t="inlineStr">
        <is>
          <t>PetroSA/SANPC</t>
        </is>
      </c>
      <c r="B40" s="99">
        <f>'Client Report'!B10</f>
        <v/>
      </c>
      <c r="C40" s="99">
        <f>'Client Report'!C10</f>
        <v/>
      </c>
      <c r="D40" s="99">
        <f>'Client Report'!D10</f>
        <v/>
      </c>
      <c r="E40" s="99">
        <f>'Client Report'!E10</f>
        <v/>
      </c>
      <c r="F40" s="100">
        <f>'Client Report'!F10</f>
        <v/>
      </c>
      <c r="G40" s="109" t="n"/>
      <c r="H40" s="93" t="n"/>
    </row>
    <row r="41" ht="18" customHeight="1" s="65">
      <c r="A41" s="95" t="inlineStr">
        <is>
          <t>Other</t>
        </is>
      </c>
      <c r="B41" s="96">
        <f>'Client Report'!B11</f>
        <v/>
      </c>
      <c r="C41" s="96">
        <f>'Client Report'!C11</f>
        <v/>
      </c>
      <c r="D41" s="96">
        <f>'Client Report'!D11</f>
        <v/>
      </c>
      <c r="E41" s="96">
        <f>'Client Report'!E11</f>
        <v/>
      </c>
      <c r="F41" s="97">
        <f>'Client Report'!F11</f>
        <v/>
      </c>
      <c r="G41" s="108" t="n"/>
      <c r="H41" s="93" t="n"/>
    </row>
    <row r="43" ht="24" customHeight="1" s="65">
      <c r="A43" s="114" t="inlineStr">
        <is>
          <t>5.  OBSERVATIONS &amp; HIGHLIGHTS</t>
        </is>
      </c>
    </row>
    <row r="44" ht="15.75" customHeight="1" s="65">
      <c r="A44" s="127" t="inlineStr">
        <is>
          <t>Notable achievements / highlights this month:</t>
        </is>
      </c>
      <c r="B44" s="93" t="n"/>
      <c r="C44" s="93" t="n"/>
      <c r="D44" s="93" t="n"/>
      <c r="E44" s="93" t="n"/>
      <c r="F44" s="93" t="n"/>
      <c r="G44" s="93" t="n"/>
      <c r="H44" s="93" t="n"/>
    </row>
    <row r="45" ht="42" customHeight="1" s="65">
      <c r="A45" s="128" t="n"/>
      <c r="B45" s="93" t="n"/>
      <c r="C45" s="93" t="n"/>
      <c r="D45" s="93" t="n"/>
      <c r="E45" s="93" t="n"/>
      <c r="F45" s="93" t="n"/>
      <c r="G45" s="93" t="n"/>
      <c r="H45" s="93" t="n"/>
    </row>
    <row r="46" ht="15.75" customHeight="1" s="65">
      <c r="A46" s="127" t="inlineStr">
        <is>
          <t>Items still in progress – expected completion:</t>
        </is>
      </c>
      <c r="B46" s="93" t="n"/>
      <c r="C46" s="93" t="n"/>
      <c r="D46" s="93" t="n"/>
      <c r="E46" s="93" t="n"/>
      <c r="F46" s="93" t="n"/>
      <c r="G46" s="93" t="n"/>
      <c r="H46" s="93" t="n"/>
    </row>
    <row r="47" ht="42" customHeight="1" s="65">
      <c r="A47" s="128" t="n"/>
      <c r="B47" s="93" t="n"/>
      <c r="C47" s="93" t="n"/>
      <c r="D47" s="93" t="n"/>
      <c r="E47" s="93" t="n"/>
      <c r="F47" s="93" t="n"/>
      <c r="G47" s="93" t="n"/>
      <c r="H47" s="93" t="n"/>
    </row>
    <row r="48" ht="15.75" customHeight="1" s="65">
      <c r="A48" s="127" t="inlineStr">
        <is>
          <t>Blocked / Pending items and reasons:</t>
        </is>
      </c>
      <c r="B48" s="93" t="n"/>
      <c r="C48" s="93" t="n"/>
      <c r="D48" s="93" t="n"/>
      <c r="E48" s="93" t="n"/>
      <c r="F48" s="93" t="n"/>
      <c r="G48" s="93" t="n"/>
      <c r="H48" s="93" t="n"/>
    </row>
    <row r="49" ht="42" customHeight="1" s="65">
      <c r="A49" s="128" t="n"/>
      <c r="B49" s="93" t="n"/>
      <c r="C49" s="93" t="n"/>
      <c r="D49" s="93" t="n"/>
      <c r="E49" s="93" t="n"/>
      <c r="F49" s="93" t="n"/>
      <c r="G49" s="93" t="n"/>
      <c r="H49" s="93" t="n"/>
    </row>
    <row r="50" ht="15.75" customHeight="1" s="65">
      <c r="A50" s="127" t="inlineStr">
        <is>
          <t>Risks or escalations:</t>
        </is>
      </c>
      <c r="B50" s="93" t="n"/>
      <c r="C50" s="93" t="n"/>
      <c r="D50" s="93" t="n"/>
      <c r="E50" s="93" t="n"/>
      <c r="F50" s="93" t="n"/>
      <c r="G50" s="93" t="n"/>
      <c r="H50" s="93" t="n"/>
    </row>
    <row r="51" ht="42" customHeight="1" s="65">
      <c r="A51" s="128" t="n"/>
      <c r="B51" s="93" t="n"/>
      <c r="C51" s="93" t="n"/>
      <c r="D51" s="93" t="n"/>
      <c r="E51" s="93" t="n"/>
      <c r="F51" s="93" t="n"/>
      <c r="G51" s="93" t="n"/>
      <c r="H51" s="93" t="n"/>
    </row>
    <row r="52" ht="15.75" customHeight="1" s="65">
      <c r="A52" s="127" t="inlineStr">
        <is>
          <t>Recommended actions / next steps:</t>
        </is>
      </c>
      <c r="B52" s="93" t="n"/>
      <c r="C52" s="93" t="n"/>
      <c r="D52" s="93" t="n"/>
      <c r="E52" s="93" t="n"/>
      <c r="F52" s="93" t="n"/>
      <c r="G52" s="93" t="n"/>
      <c r="H52" s="93" t="n"/>
    </row>
    <row r="53" ht="42" customHeight="1" s="65">
      <c r="A53" s="128" t="n"/>
      <c r="B53" s="93" t="n"/>
      <c r="C53" s="93" t="n"/>
      <c r="D53" s="93" t="n"/>
      <c r="E53" s="93" t="n"/>
      <c r="F53" s="93" t="n"/>
      <c r="G53" s="93" t="n"/>
      <c r="H53" s="93" t="n"/>
    </row>
  </sheetData>
  <mergeCells count="51">
    <mergeCell ref="A48:H48"/>
    <mergeCell ref="A51:H51"/>
    <mergeCell ref="A11:E11"/>
    <mergeCell ref="F8:H8"/>
    <mergeCell ref="G36:H36"/>
    <mergeCell ref="A49:H49"/>
    <mergeCell ref="D31:H31"/>
    <mergeCell ref="A45:H45"/>
    <mergeCell ref="A1:H1"/>
    <mergeCell ref="G17:H17"/>
    <mergeCell ref="A6:H6"/>
    <mergeCell ref="G39:H39"/>
    <mergeCell ref="G38:H38"/>
    <mergeCell ref="A7:E7"/>
    <mergeCell ref="G19:H19"/>
    <mergeCell ref="D27:H27"/>
    <mergeCell ref="G37:H37"/>
    <mergeCell ref="F9:H9"/>
    <mergeCell ref="A46:H46"/>
    <mergeCell ref="G18:H18"/>
    <mergeCell ref="A50:H50"/>
    <mergeCell ref="A12:E12"/>
    <mergeCell ref="G34:H34"/>
    <mergeCell ref="G15:H15"/>
    <mergeCell ref="D28:H28"/>
    <mergeCell ref="A33:H33"/>
    <mergeCell ref="A14:H14"/>
    <mergeCell ref="A47:H47"/>
    <mergeCell ref="A8:E8"/>
    <mergeCell ref="F11:H11"/>
    <mergeCell ref="A22:H22"/>
    <mergeCell ref="G35:H35"/>
    <mergeCell ref="F10:H10"/>
    <mergeCell ref="G20:H20"/>
    <mergeCell ref="D25:H25"/>
    <mergeCell ref="D30:H30"/>
    <mergeCell ref="A53:H53"/>
    <mergeCell ref="G16:H16"/>
    <mergeCell ref="D24:H24"/>
    <mergeCell ref="A10:E10"/>
    <mergeCell ref="A43:H43"/>
    <mergeCell ref="A52:H52"/>
    <mergeCell ref="G41:H41"/>
    <mergeCell ref="D29:H29"/>
    <mergeCell ref="D23:H23"/>
    <mergeCell ref="A44:H44"/>
    <mergeCell ref="F12:H12"/>
    <mergeCell ref="F7:H7"/>
    <mergeCell ref="G40:H40"/>
    <mergeCell ref="A9:E9"/>
    <mergeCell ref="D26:H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64" min="1" max="1"/>
    <col width="50" customWidth="1" style="64" min="2" max="2"/>
    <col width="22" customWidth="1" style="64" min="3" max="4"/>
  </cols>
  <sheetData>
    <row r="1" ht="31.5" customHeight="1" s="65">
      <c r="A1" s="66" t="inlineStr">
        <is>
          <t>How To Use This Workbook</t>
        </is>
      </c>
    </row>
    <row r="2" ht="19.5" customHeight="1" s="65">
      <c r="A2" s="129" t="inlineStr">
        <is>
          <t>SHEET</t>
        </is>
      </c>
      <c r="B2" s="129" t="inlineStr">
        <is>
          <t>PURPOSE / HOW TO USE</t>
        </is>
      </c>
      <c r="C2" s="129" t="n"/>
      <c r="D2" s="129" t="n"/>
    </row>
    <row r="3" ht="19.5" customHeight="1" s="65">
      <c r="A3" s="81" t="inlineStr">
        <is>
          <t>📋 Monthly Activity Log</t>
        </is>
      </c>
      <c r="B3" s="81" t="inlineStr">
        <is>
          <t>Team fills in one row per activity every month. Use the dropdown lists in each column. Yellow cells are mandatory. Supports up to 100 activities per load.</t>
        </is>
      </c>
      <c r="C3" s="81" t="n"/>
      <c r="D3" s="81" t="n"/>
    </row>
    <row r="4" ht="19.5" customHeight="1" s="65">
      <c r="A4" s="79" t="inlineStr">
        <is>
          <t>📊 Summary Dashboard</t>
        </is>
      </c>
      <c r="B4" s="79" t="inlineStr">
        <is>
          <t>Auto-calculates KPIs, team workload, category and client breakdowns from the log. Press Ctrl+Alt+F9 to refresh after updates.</t>
        </is>
      </c>
      <c r="C4" s="79" t="n"/>
      <c r="D4" s="79" t="n"/>
    </row>
    <row r="5" ht="19.5" customHeight="1" s="65">
      <c r="A5" s="81" t="inlineStr">
        <is>
          <t>👤 Team Member View</t>
        </is>
      </c>
      <c r="B5" s="81" t="inlineStr">
        <is>
          <t>Select a team member from the B3 dropdown to see only their activities. Useful for 1-on-1s and check-ins.</t>
        </is>
      </c>
      <c r="C5" s="81" t="n"/>
      <c r="D5" s="81" t="n"/>
    </row>
    <row r="6" ht="19.5" customHeight="1" s="65">
      <c r="A6" s="79" t="inlineStr">
        <is>
          <t>📄 Monthly Report</t>
        </is>
      </c>
      <c r="B6" s="79" t="inlineStr">
        <is>
          <t>Auto-populated report template. Fill in the 'Observations' section manually before sharing. Print or export as PDF.</t>
        </is>
      </c>
      <c r="C6" s="79" t="n"/>
      <c r="D6" s="79" t="n"/>
    </row>
    <row r="7" ht="19.5" customHeight="1" s="65">
      <c r="A7" s="81" t="n"/>
      <c r="B7" s="81" t="n"/>
      <c r="C7" s="81" t="n"/>
      <c r="D7" s="81" t="n"/>
    </row>
    <row r="8" ht="19.5" customHeight="1" s="65">
      <c r="A8" s="129" t="inlineStr">
        <is>
          <t>STATUS COLOURS</t>
        </is>
      </c>
      <c r="B8" s="129" t="n"/>
      <c r="C8" s="129" t="n"/>
      <c r="D8" s="129" t="n"/>
    </row>
    <row r="9" ht="19.5" customHeight="1" s="65">
      <c r="A9" s="81" t="inlineStr">
        <is>
          <t>🟢 Completed</t>
        </is>
      </c>
      <c r="B9" s="81" t="inlineStr">
        <is>
          <t>Activity fully done</t>
        </is>
      </c>
      <c r="C9" s="81" t="n"/>
      <c r="D9" s="81" t="n"/>
    </row>
    <row r="10" ht="19.5" customHeight="1" s="65">
      <c r="A10" s="79" t="inlineStr">
        <is>
          <t>🟡 In Progress</t>
        </is>
      </c>
      <c r="B10" s="79" t="inlineStr">
        <is>
          <t>Work underway</t>
        </is>
      </c>
      <c r="C10" s="79" t="n"/>
      <c r="D10" s="79" t="n"/>
    </row>
    <row r="11" ht="19.5" customHeight="1" s="65">
      <c r="A11" s="81" t="inlineStr">
        <is>
          <t>🔴 Pending</t>
        </is>
      </c>
      <c r="B11" s="81" t="inlineStr">
        <is>
          <t>Not yet started or blocked</t>
        </is>
      </c>
      <c r="C11" s="81" t="n"/>
      <c r="D11" s="81" t="n"/>
    </row>
    <row r="12" ht="19.5" customHeight="1" s="65">
      <c r="A12" s="79" t="n"/>
      <c r="B12" s="79" t="n"/>
      <c r="C12" s="79" t="n"/>
      <c r="D12" s="79" t="n"/>
    </row>
    <row r="13" ht="19.5" customHeight="1" s="65">
      <c r="A13" s="129" t="inlineStr">
        <is>
          <t>PRIORITY COLOURS</t>
        </is>
      </c>
      <c r="B13" s="129" t="n"/>
      <c r="C13" s="129" t="n"/>
      <c r="D13" s="129" t="n"/>
    </row>
    <row r="14" ht="19.5" customHeight="1" s="65">
      <c r="A14" s="79" t="inlineStr">
        <is>
          <t>🔴 High</t>
        </is>
      </c>
      <c r="B14" s="79" t="inlineStr">
        <is>
          <t>Urgent – needs attention this sprint</t>
        </is>
      </c>
      <c r="C14" s="79" t="n"/>
      <c r="D14" s="79" t="n"/>
    </row>
    <row r="15" ht="19.5" customHeight="1" s="65">
      <c r="A15" s="81" t="inlineStr">
        <is>
          <t>🟡 Medium</t>
        </is>
      </c>
      <c r="B15" s="81" t="inlineStr">
        <is>
          <t>Normal priority</t>
        </is>
      </c>
      <c r="C15" s="81" t="n"/>
      <c r="D15" s="81" t="n"/>
    </row>
    <row r="16" ht="19.5" customHeight="1" s="65">
      <c r="A16" s="79" t="inlineStr">
        <is>
          <t>🟢 Low</t>
        </is>
      </c>
      <c r="B16" s="79" t="inlineStr">
        <is>
          <t>Can be deferred if needed</t>
        </is>
      </c>
      <c r="C16" s="79" t="n"/>
      <c r="D16" s="79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2026-06-02T10:47:35Z</dcterms:created>
  <dcterms:modified xmlns:dcterms="http://purl.org/dc/terms/" xmlns:xsi="http://www.w3.org/2001/XMLSchema-instance" xsi:type="dcterms:W3CDTF">2026-06-02T11:43:18Z</dcterms:modified>
  <cp:revision>0</cp:revision>
</cp:coreProperties>
</file>